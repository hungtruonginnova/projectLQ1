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filterPrivacy="1" defaultThemeVersion="124226"/>
  <xr:revisionPtr revIDLastSave="5813" documentId="8_{F08CA14A-0B65-4991-917D-7AC870C7E6BF}" xr6:coauthVersionLast="47" xr6:coauthVersionMax="47" xr10:uidLastSave="{5CABF3AB-6EBD-7341-A33B-7EB0E16AC002}"/>
  <bookViews>
    <workbookView xWindow="1360" yWindow="980" windowWidth="55920" windowHeight="30580" xr2:uid="{00000000-000D-0000-FFFF-FFFF00000000}"/>
  </bookViews>
  <sheets>
    <sheet name="SW production Schedule 6W" sheetId="71" r:id="rId1"/>
    <sheet name="Launch schedule 24.06.2026" sheetId="78" r:id="rId2"/>
    <sheet name="SW1160XL" sheetId="73" r:id="rId3"/>
    <sheet name="SW1170" sheetId="74" r:id="rId4"/>
    <sheet name="SW1260 &amp; 1270" sheetId="75" r:id="rId5"/>
    <sheet name="SW1370" sheetId="76" r:id="rId6"/>
    <sheet name="SW1600" sheetId="77" r:id="rId7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0" i="71" l="1"/>
  <c r="Q31" i="71" s="1"/>
  <c r="Q32" i="71" s="1"/>
  <c r="Q33" i="71" s="1"/>
  <c r="Q34" i="71" s="1"/>
  <c r="Q35" i="71" s="1"/>
  <c r="Q36" i="71" s="1"/>
  <c r="P71" i="71"/>
  <c r="P72" i="71" s="1"/>
  <c r="Q70" i="71"/>
  <c r="Q71" i="71" s="1"/>
  <c r="Q72" i="71" s="1"/>
  <c r="T26" i="71"/>
  <c r="T27" i="71" s="1"/>
  <c r="T28" i="71" s="1"/>
  <c r="T31" i="71" s="1"/>
  <c r="T32" i="71" s="1"/>
  <c r="T33" i="71" s="1"/>
  <c r="T34" i="71" s="1"/>
  <c r="T35" i="71" s="1"/>
  <c r="T36" i="71" s="1"/>
  <c r="P62" i="71"/>
  <c r="P63" i="71" s="1"/>
  <c r="P64" i="71" s="1"/>
  <c r="P65" i="71" s="1"/>
  <c r="P66" i="71" s="1"/>
  <c r="P67" i="71" s="1"/>
  <c r="P68" i="71" s="1"/>
  <c r="P69" i="71" s="1"/>
  <c r="Q61" i="71"/>
  <c r="Q62" i="71" s="1"/>
  <c r="Q63" i="71" s="1"/>
  <c r="Q64" i="71" s="1"/>
  <c r="Q65" i="71" s="1"/>
  <c r="Q66" i="71" s="1"/>
  <c r="Q67" i="71" s="1"/>
  <c r="Q68" i="71" s="1"/>
  <c r="R68" i="71"/>
  <c r="R69" i="71" s="1"/>
  <c r="R70" i="71" s="1"/>
  <c r="R71" i="71" s="1"/>
  <c r="R72" i="71" s="1"/>
  <c r="R59" i="71"/>
  <c r="R60" i="71" s="1"/>
  <c r="R61" i="71" s="1"/>
  <c r="R62" i="71" s="1"/>
  <c r="R63" i="71" s="1"/>
  <c r="R64" i="71" s="1"/>
  <c r="R65" i="71" s="1"/>
  <c r="R66" i="71" s="1"/>
  <c r="T66" i="71"/>
  <c r="T67" i="71" s="1"/>
  <c r="T68" i="71" s="1"/>
  <c r="T69" i="71" s="1"/>
  <c r="T70" i="71" s="1"/>
  <c r="T71" i="71" s="1"/>
  <c r="T72" i="71" s="1"/>
  <c r="R29" i="71"/>
  <c r="R31" i="71"/>
  <c r="R32" i="71" s="1"/>
  <c r="R33" i="71" s="1"/>
  <c r="R34" i="71" s="1"/>
  <c r="R35" i="71" s="1"/>
  <c r="R36" i="71" s="1"/>
  <c r="P32" i="71"/>
  <c r="P33" i="71" s="1"/>
  <c r="P34" i="71" s="1"/>
  <c r="P35" i="71" s="1"/>
  <c r="P36" i="71" s="1"/>
  <c r="U53" i="71"/>
  <c r="U99" i="71"/>
  <c r="T100" i="71"/>
  <c r="T101" i="71" s="1"/>
  <c r="E23" i="75"/>
  <c r="E22" i="75"/>
  <c r="E21" i="75"/>
  <c r="E20" i="75"/>
  <c r="E19" i="75"/>
  <c r="E18" i="75"/>
  <c r="E17" i="75"/>
  <c r="E16" i="75"/>
  <c r="E15" i="75"/>
  <c r="E14" i="75"/>
  <c r="E13" i="75"/>
  <c r="E12" i="75"/>
  <c r="E11" i="75"/>
  <c r="E10" i="75"/>
  <c r="E9" i="75"/>
  <c r="E8" i="75"/>
  <c r="E7" i="75"/>
  <c r="E6" i="75"/>
  <c r="N16" i="73"/>
  <c r="N17" i="73"/>
  <c r="N18" i="73"/>
  <c r="N19" i="73"/>
  <c r="N20" i="73"/>
  <c r="N21" i="73"/>
  <c r="N22" i="73"/>
  <c r="N23" i="73"/>
  <c r="N24" i="73"/>
  <c r="N25" i="73"/>
  <c r="N26" i="73"/>
  <c r="N27" i="73"/>
  <c r="N28" i="73"/>
  <c r="N29" i="73"/>
  <c r="N30" i="73"/>
  <c r="N31" i="73"/>
  <c r="Q15" i="73"/>
  <c r="Q16" i="73"/>
  <c r="Q17" i="73"/>
  <c r="Q18" i="73"/>
  <c r="Q19" i="73"/>
  <c r="Q20" i="73"/>
  <c r="Q21" i="73"/>
  <c r="Q22" i="73"/>
  <c r="Q23" i="73"/>
  <c r="Q24" i="73"/>
  <c r="Q25" i="73"/>
  <c r="Q26" i="73"/>
  <c r="U106" i="71"/>
  <c r="R22" i="71"/>
  <c r="R23" i="71" s="1"/>
  <c r="R24" i="71" s="1"/>
  <c r="R25" i="71" s="1"/>
  <c r="R26" i="71" s="1"/>
  <c r="R27" i="71" s="1"/>
  <c r="P25" i="71"/>
  <c r="P26" i="71" s="1"/>
  <c r="P27" i="71" s="1"/>
  <c r="P28" i="71" s="1"/>
  <c r="P29" i="71" s="1"/>
  <c r="P30" i="71" s="1"/>
  <c r="T22" i="71"/>
  <c r="T23" i="71" s="1"/>
  <c r="T24" i="71" s="1"/>
  <c r="U139" i="71"/>
  <c r="U140" i="71"/>
  <c r="U141" i="71"/>
  <c r="U142" i="71"/>
  <c r="U143" i="71"/>
  <c r="U144" i="71"/>
  <c r="U145" i="71"/>
  <c r="U146" i="71"/>
  <c r="U147" i="71"/>
  <c r="U148" i="71"/>
  <c r="U149" i="71"/>
  <c r="U150" i="71"/>
  <c r="U151" i="71"/>
  <c r="U152" i="71"/>
  <c r="U153" i="71"/>
  <c r="U154" i="71"/>
  <c r="U155" i="71"/>
  <c r="U156" i="71"/>
  <c r="U157" i="71"/>
  <c r="U158" i="71"/>
  <c r="U159" i="71"/>
  <c r="U160" i="71"/>
  <c r="U161" i="71"/>
  <c r="U162" i="71"/>
  <c r="U163" i="71"/>
  <c r="U164" i="71"/>
  <c r="U165" i="71"/>
  <c r="U166" i="71"/>
  <c r="U167" i="71"/>
  <c r="U168" i="71"/>
  <c r="U169" i="71"/>
  <c r="U170" i="71"/>
  <c r="U171" i="71"/>
  <c r="U172" i="71"/>
  <c r="U173" i="71"/>
  <c r="U174" i="71"/>
  <c r="U175" i="71"/>
  <c r="U176" i="71"/>
  <c r="U177" i="71"/>
  <c r="U178" i="71"/>
  <c r="R127" i="71"/>
  <c r="R128" i="71" s="1"/>
  <c r="R129" i="71" s="1"/>
  <c r="N125" i="71"/>
  <c r="N126" i="71" s="1"/>
  <c r="N127" i="71" s="1"/>
  <c r="P120" i="71"/>
  <c r="P121" i="71" s="1"/>
  <c r="P122" i="71" s="1"/>
  <c r="P123" i="71" s="1"/>
  <c r="P124" i="71" s="1"/>
  <c r="P125" i="71" s="1"/>
  <c r="P126" i="71" s="1"/>
  <c r="P127" i="71" s="1"/>
  <c r="P128" i="71" s="1"/>
  <c r="P129" i="71" s="1"/>
  <c r="P130" i="71" s="1"/>
  <c r="P131" i="71" s="1"/>
  <c r="P132" i="71" s="1"/>
  <c r="P133" i="71" s="1"/>
  <c r="P134" i="71" s="1"/>
  <c r="P135" i="71" s="1"/>
  <c r="P136" i="71" s="1"/>
  <c r="P137" i="71" s="1"/>
  <c r="U95" i="71"/>
  <c r="U96" i="71"/>
  <c r="U97" i="71"/>
  <c r="U98" i="71"/>
  <c r="R185" i="71"/>
  <c r="Q185" i="71"/>
  <c r="U184" i="71"/>
  <c r="R184" i="71"/>
  <c r="Q184" i="71"/>
  <c r="U183" i="71"/>
  <c r="R183" i="71"/>
  <c r="Q183" i="71"/>
  <c r="U182" i="71"/>
  <c r="R182" i="71"/>
  <c r="Q182" i="71"/>
  <c r="U181" i="71"/>
  <c r="R181" i="71"/>
  <c r="Q181" i="71"/>
  <c r="C178" i="71"/>
  <c r="C177" i="71"/>
  <c r="C176" i="71"/>
  <c r="C175" i="71"/>
  <c r="C174" i="71"/>
  <c r="C173" i="71"/>
  <c r="C172" i="71"/>
  <c r="C171" i="71"/>
  <c r="C170" i="71"/>
  <c r="C169" i="71"/>
  <c r="C168" i="71"/>
  <c r="C167" i="71"/>
  <c r="C166" i="71"/>
  <c r="C165" i="71"/>
  <c r="C164" i="71"/>
  <c r="C163" i="71"/>
  <c r="C162" i="71"/>
  <c r="C161" i="71"/>
  <c r="C160" i="71"/>
  <c r="C159" i="71"/>
  <c r="C158" i="71"/>
  <c r="P116" i="71"/>
  <c r="P117" i="71" s="1"/>
  <c r="P118" i="71" s="1"/>
  <c r="T115" i="71"/>
  <c r="T116" i="71" s="1"/>
  <c r="T117" i="71" s="1"/>
  <c r="T118" i="71" s="1"/>
  <c r="Q115" i="71"/>
  <c r="Q116" i="71" s="1"/>
  <c r="Q117" i="71" s="1"/>
  <c r="Q118" i="71" s="1"/>
  <c r="Q119" i="71" s="1"/>
  <c r="Q120" i="71" s="1"/>
  <c r="Q121" i="71" s="1"/>
  <c r="Q122" i="71" s="1"/>
  <c r="Q123" i="71" s="1"/>
  <c r="Q124" i="71" s="1"/>
  <c r="Q125" i="71" s="1"/>
  <c r="Q126" i="71" s="1"/>
  <c r="Q127" i="71" s="1"/>
  <c r="Q128" i="71" s="1"/>
  <c r="Q129" i="71" s="1"/>
  <c r="Q130" i="71" s="1"/>
  <c r="Q131" i="71" s="1"/>
  <c r="Q132" i="71" s="1"/>
  <c r="Q133" i="71" s="1"/>
  <c r="Q134" i="71" s="1"/>
  <c r="Q135" i="71" s="1"/>
  <c r="Q136" i="71" s="1"/>
  <c r="Q137" i="71" s="1"/>
  <c r="Q138" i="71" s="1"/>
  <c r="R110" i="71"/>
  <c r="R111" i="71" s="1"/>
  <c r="R112" i="71" s="1"/>
  <c r="R113" i="71" s="1"/>
  <c r="R114" i="71" s="1"/>
  <c r="R115" i="71" s="1"/>
  <c r="R117" i="71"/>
  <c r="R118" i="71" s="1"/>
  <c r="R119" i="71" s="1"/>
  <c r="R120" i="71" s="1"/>
  <c r="R121" i="71" s="1"/>
  <c r="R122" i="71" s="1"/>
  <c r="R123" i="71" s="1"/>
  <c r="R124" i="71" s="1"/>
  <c r="R125" i="71" s="1"/>
  <c r="P109" i="71"/>
  <c r="P110" i="71" s="1"/>
  <c r="P111" i="71" s="1"/>
  <c r="P112" i="71" s="1"/>
  <c r="P113" i="71" s="1"/>
  <c r="P114" i="71" s="1"/>
  <c r="T107" i="71"/>
  <c r="U107" i="71" s="1"/>
  <c r="Q106" i="71"/>
  <c r="Q108" i="71"/>
  <c r="Q109" i="71" s="1"/>
  <c r="Q110" i="71" s="1"/>
  <c r="Q111" i="71" s="1"/>
  <c r="Q112" i="71" s="1"/>
  <c r="Q113" i="71" s="1"/>
  <c r="R104" i="71"/>
  <c r="R105" i="71" s="1"/>
  <c r="R106" i="71" s="1"/>
  <c r="R107" i="71" s="1"/>
  <c r="R108" i="71" s="1"/>
  <c r="P99" i="71"/>
  <c r="P100" i="71" s="1"/>
  <c r="P101" i="71" s="1"/>
  <c r="P102" i="71" s="1"/>
  <c r="Q98" i="71"/>
  <c r="Q97" i="71"/>
  <c r="Q96" i="71"/>
  <c r="R95" i="71"/>
  <c r="Q95" i="71"/>
  <c r="U94" i="71"/>
  <c r="R94" i="71"/>
  <c r="Q94" i="71"/>
  <c r="U93" i="71"/>
  <c r="R93" i="71"/>
  <c r="Q93" i="71"/>
  <c r="U92" i="71"/>
  <c r="R92" i="71"/>
  <c r="Q92" i="71"/>
  <c r="U91" i="71"/>
  <c r="R91" i="71"/>
  <c r="Q91" i="71"/>
  <c r="U90" i="71"/>
  <c r="R90" i="71"/>
  <c r="Q90" i="71"/>
  <c r="U89" i="71"/>
  <c r="R89" i="71"/>
  <c r="Q89" i="71"/>
  <c r="U88" i="71"/>
  <c r="R88" i="71"/>
  <c r="Q88" i="71"/>
  <c r="U87" i="71"/>
  <c r="R87" i="71"/>
  <c r="Q87" i="71"/>
  <c r="U86" i="71"/>
  <c r="R86" i="71"/>
  <c r="Q86" i="71"/>
  <c r="U85" i="71"/>
  <c r="R85" i="71"/>
  <c r="Q85" i="71"/>
  <c r="U84" i="71"/>
  <c r="R84" i="71"/>
  <c r="Q84" i="71"/>
  <c r="U83" i="71"/>
  <c r="R83" i="71"/>
  <c r="Q83" i="71"/>
  <c r="U82" i="71"/>
  <c r="R82" i="71"/>
  <c r="Q82" i="71"/>
  <c r="U81" i="71"/>
  <c r="R81" i="71"/>
  <c r="Q81" i="71"/>
  <c r="U80" i="71"/>
  <c r="R80" i="71"/>
  <c r="Q80" i="71"/>
  <c r="U79" i="71"/>
  <c r="R79" i="71"/>
  <c r="Q79" i="71"/>
  <c r="U78" i="71"/>
  <c r="R78" i="71"/>
  <c r="Q78" i="71"/>
  <c r="U77" i="71"/>
  <c r="R77" i="71"/>
  <c r="Q77" i="71"/>
  <c r="U76" i="71"/>
  <c r="R76" i="71"/>
  <c r="Q76" i="71"/>
  <c r="U75" i="71"/>
  <c r="R75" i="71"/>
  <c r="Q75" i="71"/>
  <c r="U74" i="71"/>
  <c r="R74" i="71"/>
  <c r="Q74" i="71"/>
  <c r="T59" i="71"/>
  <c r="T60" i="71" s="1"/>
  <c r="T61" i="71" s="1"/>
  <c r="T62" i="71" s="1"/>
  <c r="T63" i="71" s="1"/>
  <c r="T64" i="71" s="1"/>
  <c r="U55" i="71"/>
  <c r="R55" i="71"/>
  <c r="Q55" i="71"/>
  <c r="U54" i="71"/>
  <c r="R54" i="71"/>
  <c r="Q54" i="71"/>
  <c r="R53" i="71"/>
  <c r="Q53" i="71"/>
  <c r="U52" i="71"/>
  <c r="R52" i="71"/>
  <c r="Q52" i="71"/>
  <c r="U51" i="71"/>
  <c r="R51" i="71"/>
  <c r="Q51" i="71"/>
  <c r="U50" i="71"/>
  <c r="R50" i="71"/>
  <c r="Q50" i="71"/>
  <c r="U49" i="71"/>
  <c r="R49" i="71"/>
  <c r="Q49" i="71"/>
  <c r="U48" i="71"/>
  <c r="R48" i="71"/>
  <c r="Q48" i="71"/>
  <c r="U47" i="71"/>
  <c r="R47" i="71"/>
  <c r="Q47" i="71"/>
  <c r="U46" i="71"/>
  <c r="R46" i="71"/>
  <c r="Q46" i="71"/>
  <c r="U45" i="71"/>
  <c r="R45" i="71"/>
  <c r="Q45" i="71"/>
  <c r="U44" i="71"/>
  <c r="R44" i="71"/>
  <c r="Q44" i="71"/>
  <c r="U43" i="71"/>
  <c r="R43" i="71"/>
  <c r="Q43" i="71"/>
  <c r="U42" i="71"/>
  <c r="R42" i="71"/>
  <c r="Q42" i="71"/>
  <c r="U41" i="71"/>
  <c r="R41" i="71"/>
  <c r="Q41" i="71"/>
  <c r="U40" i="71"/>
  <c r="R40" i="71"/>
  <c r="Q40" i="71"/>
  <c r="U39" i="71"/>
  <c r="R39" i="71"/>
  <c r="Q39" i="71"/>
  <c r="U38" i="71"/>
  <c r="R38" i="71"/>
  <c r="Q38" i="71"/>
  <c r="Q23" i="71"/>
  <c r="Q24" i="71" s="1"/>
  <c r="Q25" i="71" s="1"/>
  <c r="Q26" i="71" s="1"/>
  <c r="Q27" i="71" s="1"/>
  <c r="Q28" i="71" s="1"/>
  <c r="R14" i="71"/>
  <c r="R13" i="71"/>
  <c r="U11" i="71"/>
  <c r="R11" i="71"/>
  <c r="Q11" i="71"/>
  <c r="R10" i="71"/>
  <c r="Q10" i="71"/>
  <c r="R9" i="71"/>
  <c r="Q9" i="71"/>
  <c r="U8" i="71"/>
  <c r="R8" i="71"/>
  <c r="Q8" i="71"/>
  <c r="U7" i="71"/>
  <c r="R7" i="71"/>
  <c r="Q7" i="71"/>
  <c r="U6" i="71"/>
  <c r="R6" i="71"/>
  <c r="Q6" i="71"/>
  <c r="U5" i="71"/>
  <c r="R5" i="71"/>
  <c r="Q5" i="71"/>
  <c r="U100" i="71" l="1"/>
  <c r="T108" i="71"/>
  <c r="U101" i="71"/>
  <c r="T102" i="71"/>
  <c r="T119" i="71"/>
  <c r="T120" i="71" s="1"/>
  <c r="U118" i="71"/>
  <c r="T109" i="71" l="1"/>
  <c r="U120" i="71"/>
  <c r="T121" i="71"/>
  <c r="T103" i="71"/>
  <c r="U102" i="71"/>
  <c r="U109" i="71" l="1"/>
  <c r="T110" i="71"/>
  <c r="T104" i="71"/>
  <c r="U121" i="71"/>
  <c r="T122" i="71"/>
  <c r="U110" i="71" l="1"/>
  <c r="T111" i="71"/>
  <c r="T112" i="71" s="1"/>
  <c r="T113" i="71" s="1"/>
  <c r="U122" i="71"/>
  <c r="T123" i="71"/>
  <c r="T105" i="71"/>
  <c r="U105" i="71" s="1"/>
  <c r="U104" i="71"/>
  <c r="U123" i="71" l="1"/>
  <c r="T124" i="71"/>
  <c r="T125" i="71" l="1"/>
  <c r="U124" i="71"/>
  <c r="U125" i="71" l="1"/>
  <c r="T126" i="71"/>
  <c r="U126" i="71" l="1"/>
  <c r="T127" i="71"/>
  <c r="U127" i="71" l="1"/>
  <c r="T128" i="71"/>
  <c r="T129" i="71" l="1"/>
  <c r="T130" i="71" s="1"/>
  <c r="U128" i="71"/>
  <c r="R130" i="71" l="1"/>
  <c r="T131" i="71"/>
  <c r="T132" i="71" l="1"/>
  <c r="R131" i="71"/>
  <c r="U132" i="71" l="1"/>
  <c r="T133" i="71"/>
  <c r="R132" i="71"/>
  <c r="T134" i="71" l="1"/>
  <c r="R133" i="71"/>
  <c r="T135" i="71" l="1"/>
  <c r="R134" i="71"/>
  <c r="T136" i="71" l="1"/>
  <c r="R135" i="71"/>
  <c r="R136" i="71" l="1"/>
  <c r="T137" i="71"/>
  <c r="T138" i="7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N2" authorId="0" shapeId="0" xr:uid="{B9593DDE-F012-45CC-B73F-FC8A1AE9EB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updated Jan 14 2022
</t>
        </r>
      </text>
    </comment>
    <comment ref="N3" authorId="0" shapeId="0" xr:uid="{2389A4D8-34BC-4CE1-ABFD-877DDDEA128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updated Jan 14 2022
</t>
        </r>
      </text>
    </comment>
    <comment ref="O3" authorId="0" shapeId="0" xr:uid="{128B0CE0-4C98-4F57-9E85-973ED847F0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updated Jan 14 2022
</t>
        </r>
      </text>
    </comment>
    <comment ref="A24" authorId="0" shapeId="0" xr:uid="{B118CC7E-A9F9-4EA4-B912-FE585252FAEC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SC number SC851 to SC860 assigned from here
</t>
        </r>
      </text>
    </comment>
    <comment ref="I43" authorId="0" shapeId="0" xr:uid="{0F7A20AD-FB03-40EF-9A8F-1C8E08C65607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I44" authorId="0" shapeId="0" xr:uid="{B43B2622-B26B-4E08-9A18-45721430D3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Stefan Malin:
SA obliged to take</t>
        </r>
      </text>
    </comment>
    <comment ref="CE53" authorId="0" shapeId="0" xr:uid="{178C9821-8426-4EE7-A5F4-2A7AAE8939A4}">
      <text>
        <r>
          <rPr>
            <b/>
            <sz val="9"/>
            <color indexed="81"/>
            <rFont val="Tahoma"/>
            <family val="2"/>
          </rPr>
          <t>Stefan Malin: electric cables and batteries arrival</t>
        </r>
      </text>
    </comment>
    <comment ref="CF53" authorId="0" shapeId="0" xr:uid="{CD6E2528-88B9-481A-911D-8A8D480E74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arrival bellmarine propulsion
</t>
        </r>
      </text>
    </comment>
    <comment ref="I54" authorId="0" shapeId="0" xr:uid="{4593ACD5-D518-4927-89EA-A9FF684BFEEC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CE54" authorId="0" shapeId="0" xr:uid="{983BFAF2-54F4-4186-8293-16ACFBD2C5AF}">
      <text>
        <r>
          <rPr>
            <b/>
            <sz val="9"/>
            <color indexed="81"/>
            <rFont val="Tahoma"/>
            <family val="2"/>
          </rPr>
          <t>Stefan Malin: electric cables and batteries arrival</t>
        </r>
      </text>
    </comment>
    <comment ref="CF54" authorId="0" shapeId="0" xr:uid="{2DDEA3BB-729E-4790-B501-FE2BFA1102E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arrival bellmarine propulsion
</t>
        </r>
      </text>
    </comment>
    <comment ref="I55" authorId="0" shapeId="0" xr:uid="{3FA4BA72-B689-4D22-9554-4E3CAC596460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J55" authorId="0" shapeId="0" xr:uid="{62AE160C-942E-4292-A2E6-587523009CB5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Put he here as he asked for the latest possible 1260 slot</t>
        </r>
      </text>
    </comment>
    <comment ref="DK57" authorId="0" shapeId="0" xr:uid="{AA669387-7D75-4FF6-B00E-397A30243F02}">
      <text>
        <r>
          <rPr>
            <b/>
            <sz val="9"/>
            <color rgb="FF000000"/>
            <rFont val="Tahoma"/>
            <family val="2"/>
          </rPr>
          <t>Stefan Malin:</t>
        </r>
      </text>
    </comment>
    <comment ref="DS57" authorId="0" shapeId="0" xr:uid="{250C5AB6-206C-4507-A559-3616C411D12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Bump in for boat show
</t>
        </r>
      </text>
    </comment>
    <comment ref="DT57" authorId="0" shapeId="0" xr:uid="{01548FD2-E3C4-4375-9300-EB6DEA8C8661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Annpolis 9th to 12th Oct. Transit time from VT is 40 days plus one or two weeks for dleay/change = max 7.5 to 8 weeks
</t>
        </r>
      </text>
    </comment>
    <comment ref="I58" authorId="0" shapeId="0" xr:uid="{185FA6C2-C7B1-4168-83D8-347488C3CC26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I60" authorId="0" shapeId="0" xr:uid="{FDFB11BE-CC97-48C9-B8CC-C7B4BC118F39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I84" authorId="0" shapeId="0" xr:uid="{1E78CED7-5F5B-4470-94CD-EDE328B8880C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A87" authorId="0" shapeId="0" xr:uid="{03FA2099-08F3-4D3C-B9C0-2C3FCA5F3DE8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former 627 clifford</t>
        </r>
      </text>
    </comment>
    <comment ref="I90" authorId="0" shapeId="0" xr:uid="{3E687F54-E3BC-4BCB-8D0D-811A628095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Asia yacht service</t>
        </r>
      </text>
    </comment>
    <comment ref="I99" authorId="0" shapeId="0" xr:uid="{15265E63-E4EC-40CC-9B0D-04450F8F02E2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I104" authorId="0" shapeId="0" xr:uid="{D583A35C-E3EF-4301-BBB7-A2A6600BDD21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I106" authorId="0" shapeId="0" xr:uid="{0AB46A1F-EC72-4F6B-8AB2-12048E37D9DC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I110" authorId="0" shapeId="0" xr:uid="{26B6B706-81CF-481D-B2FF-7B97F4F108B3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 obliged to take</t>
        </r>
      </text>
    </comment>
    <comment ref="J182" authorId="0" shapeId="0" xr:uid="{CC3013F7-7AE9-44EE-B4B1-87B0CC8B8E7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Sailaway supposed to take the boat
</t>
        </r>
      </text>
    </comment>
    <comment ref="N182" authorId="0" shapeId="0" xr:uid="{FE3342D8-9ED4-479D-998A-86473A9497E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On Seawind Availability Schedule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tc={1B85E874-E9D6-C540-BE7C-712C22AAB2E5}</author>
  </authors>
  <commentList>
    <comment ref="C74" authorId="0" shapeId="0" xr:uid="{1B85E874-E9D6-C540-BE7C-712C22AAB2E5}">
      <text>
        <t>[Threaded comment]
Your version of Excel allows you to read this threaded comment; however, any edits to it will get removed if the file is opened in a newer version of Excel. Learn more: https://go.microsoft.com/fwlink/?linkid=870924
Comment:
    Confirmed by Ms. Thùy email on 08/10/2025 - SC636 handover dates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00000000-0015-0000-FFFF-FFFF01000000}" keepAlive="1" name="Query - V_JOB_DETAIL" description="Connection to the 'V_JOB_DETAIL' query in the workbook." type="5" refreshedVersion="8" background="1" saveData="1">
    <dbPr connection="Provider=Microsoft.Mashup.OleDb.1;Data Source=$Workbook$;Location=V_JOB_DETAIL;Extended Properties=&quot;&quot;" command="SELECT * FROM [V_JOB_DETAIL]"/>
  </connection>
  <connection id="3" xr16:uid="{00000000-0015-0000-FFFF-FFFF02000000}" keepAlive="1" name="Query - V_JOB_HEADER" description="Connection to the 'V_JOB_HEADER' query in the workbook." type="5" refreshedVersion="0" background="1">
    <dbPr connection="Provider=Microsoft.Mashup.OleDb.1;Data Source=$Workbook$;Location=V_JOB_HEADER;Extended Properties=&quot;&quot;" command="SELECT * FROM [V_JOB_HEADER]"/>
  </connection>
</connections>
</file>

<file path=xl/sharedStrings.xml><?xml version="1.0" encoding="utf-8"?>
<sst xmlns="http://schemas.openxmlformats.org/spreadsheetml/2006/main" count="3558" uniqueCount="861">
  <si>
    <t>Payment stages</t>
  </si>
  <si>
    <t>details</t>
  </si>
  <si>
    <t>SC #</t>
  </si>
  <si>
    <t>Previous SC no</t>
  </si>
  <si>
    <t>Material issued</t>
  </si>
  <si>
    <t>Num line issued</t>
  </si>
  <si>
    <t>Labor line</t>
  </si>
  <si>
    <t>Workorder issued</t>
  </si>
  <si>
    <t>Model</t>
  </si>
  <si>
    <t>Engine / Voltage system</t>
  </si>
  <si>
    <t>Dealer</t>
  </si>
  <si>
    <t>Buyer</t>
  </si>
  <si>
    <t>Addn. Info</t>
  </si>
  <si>
    <t>Delivery option</t>
  </si>
  <si>
    <t>Contract SOC</t>
  </si>
  <si>
    <t>Contract completion date, old.</t>
  </si>
  <si>
    <t>Contract completion date NEW</t>
  </si>
  <si>
    <t>Start Lam</t>
  </si>
  <si>
    <t>Start assembly</t>
  </si>
  <si>
    <t>Windows in</t>
  </si>
  <si>
    <t>Previous factory completion date</t>
  </si>
  <si>
    <t>Planned boat completion date</t>
  </si>
  <si>
    <t>days late / ahead of contract date</t>
  </si>
  <si>
    <t>Note</t>
  </si>
  <si>
    <t>current cycle time</t>
  </si>
  <si>
    <t>June 207</t>
  </si>
  <si>
    <t>Date</t>
  </si>
  <si>
    <t>30% -deposit</t>
  </si>
  <si>
    <t>30% + variations</t>
  </si>
  <si>
    <t>SC753</t>
  </si>
  <si>
    <t>1160L</t>
  </si>
  <si>
    <t>MC</t>
  </si>
  <si>
    <t>Benjamin Castle</t>
  </si>
  <si>
    <t>Contract received</t>
  </si>
  <si>
    <t>Shipping</t>
  </si>
  <si>
    <t>Boat was shipped on ...................</t>
  </si>
  <si>
    <t xml:space="preserve">3.5 weeks cycle </t>
  </si>
  <si>
    <t>SC757</t>
  </si>
  <si>
    <t>Sail Away</t>
  </si>
  <si>
    <t xml:space="preserve">Michael D &amp; Marguerite M. Eastwood </t>
  </si>
  <si>
    <t xml:space="preserve"> Boat had been shipped by 20th Sept.</t>
  </si>
  <si>
    <t xml:space="preserve"> Boat had been shipped on 20th Sept. </t>
  </si>
  <si>
    <t>SC758</t>
  </si>
  <si>
    <t>The Finish Line</t>
  </si>
  <si>
    <t>Terrie and Peter Silcox</t>
  </si>
  <si>
    <t xml:space="preserve">Boat is in completed stage. Wrapped, ready for shipping. Waiting shipping option to be confirmed </t>
  </si>
  <si>
    <t>Boat has been shipped on 16th November together with SC759</t>
  </si>
  <si>
    <t>SC759</t>
  </si>
  <si>
    <t xml:space="preserve">Customer Cancelled - Now Sail Away Stock Boat  </t>
  </si>
  <si>
    <t xml:space="preserve">Boat has been shipped on 16th November    </t>
  </si>
  <si>
    <t>standby</t>
  </si>
  <si>
    <t>SC719</t>
  </si>
  <si>
    <t>1160 Resort</t>
  </si>
  <si>
    <t>STOCK</t>
  </si>
  <si>
    <t>FACTORY STOCK BOAT</t>
  </si>
  <si>
    <t>TBC</t>
  </si>
  <si>
    <t xml:space="preserve">Shipped to Fiji. </t>
  </si>
  <si>
    <t xml:space="preserve"> stored at factory </t>
  </si>
  <si>
    <t>Waiting parts</t>
  </si>
  <si>
    <t>SC754</t>
  </si>
  <si>
    <t>FACTORY STOCK BOAT, to be built wth miniumum installations necessary, neither engines nor sails ordered</t>
  </si>
  <si>
    <t xml:space="preserve">Boat is basically completed. Compression post not installed yet. No engines, no sails. </t>
  </si>
  <si>
    <t>SC783</t>
  </si>
  <si>
    <r>
      <t>Jim&amp; Karen Hector</t>
    </r>
    <r>
      <rPr>
        <sz val="11"/>
        <color rgb="FFFF0000"/>
        <rFont val="Calibri"/>
        <family val="2"/>
      </rPr>
      <t xml:space="preserve"> LAST "OLD" 1160L</t>
    </r>
    <r>
      <rPr>
        <sz val="11"/>
        <color rgb="FF000000"/>
        <rFont val="Calibri"/>
        <family val="2"/>
      </rPr>
      <t>, shipping in May 2025</t>
    </r>
  </si>
  <si>
    <t>Boat had been shipped  by around 20th of June, after several months of storage</t>
  </si>
  <si>
    <r>
      <t>3.5 weeks cycle.</t>
    </r>
    <r>
      <rPr>
        <sz val="11"/>
        <color rgb="FFC00000"/>
        <rFont val="Calibri"/>
        <family val="2"/>
        <scheme val="minor"/>
      </rPr>
      <t xml:space="preserve"> In storage for several months. </t>
    </r>
  </si>
  <si>
    <t>FO2</t>
  </si>
  <si>
    <t xml:space="preserve">   FIN</t>
  </si>
  <si>
    <t>storage</t>
  </si>
  <si>
    <t>Storage</t>
  </si>
  <si>
    <t>SC755</t>
  </si>
  <si>
    <t>ISSUED</t>
  </si>
  <si>
    <t>1160XL-01</t>
  </si>
  <si>
    <t>Launching</t>
  </si>
  <si>
    <t>01 march 25</t>
  </si>
  <si>
    <t xml:space="preserve">Boat is currently located in Pattaya. 
</t>
  </si>
  <si>
    <t>5 weeks cycle</t>
  </si>
  <si>
    <t>FO1</t>
  </si>
  <si>
    <t>SC756</t>
  </si>
  <si>
    <t>1160XL-02</t>
  </si>
  <si>
    <t>Shipped to Australia for Sydney boat show in November 2025</t>
  </si>
  <si>
    <t>ASSY 2</t>
  </si>
  <si>
    <t>River trial</t>
  </si>
  <si>
    <t>LOADING / SHIPPING</t>
  </si>
  <si>
    <t>SC780</t>
  </si>
  <si>
    <t>1160XL-03</t>
  </si>
  <si>
    <t>110V 
50HP engines</t>
  </si>
  <si>
    <t>ASSY 1</t>
  </si>
  <si>
    <t>On slow production. Waiting for final confirmation but currently considered to be changed into 230V system and shipped to Auckland boatshow in NZ (with 50Hp outboard engines option). Waiting for Richard &amp; Mike with final instruction. Can be finished on 20/12/2025 But need the confirmation now. 110V boat</t>
  </si>
  <si>
    <t>SC781</t>
  </si>
  <si>
    <t>1160XL-04</t>
  </si>
  <si>
    <t>H&amp;D</t>
  </si>
  <si>
    <t>Production slow down - 110V boat</t>
  </si>
  <si>
    <t>SC782</t>
  </si>
  <si>
    <t>1160XL-05</t>
  </si>
  <si>
    <t>230V
50HP engines</t>
  </si>
  <si>
    <t>Production slow down - 230V boat</t>
  </si>
  <si>
    <t>Production slow down</t>
  </si>
  <si>
    <t>SC784</t>
  </si>
  <si>
    <t>1160XL-06</t>
  </si>
  <si>
    <t>SC785</t>
  </si>
  <si>
    <t>1160XL-07</t>
  </si>
  <si>
    <t>Voltage - TBC
Engine - TBC</t>
  </si>
  <si>
    <t>Production slow down - Voltage system TBC</t>
  </si>
  <si>
    <t>SC786</t>
  </si>
  <si>
    <t>1160XL-08</t>
  </si>
  <si>
    <t>SC787</t>
  </si>
  <si>
    <t/>
  </si>
  <si>
    <t>1160XL-09</t>
  </si>
  <si>
    <t>SC788</t>
  </si>
  <si>
    <t>1160XL-10</t>
  </si>
  <si>
    <t>SC789</t>
  </si>
  <si>
    <t>SC851</t>
  </si>
  <si>
    <t>Pending WO</t>
  </si>
  <si>
    <t>1160XL-12</t>
  </si>
  <si>
    <t>AVAILABLE</t>
  </si>
  <si>
    <t>SC852</t>
  </si>
  <si>
    <t>1160XL-13</t>
  </si>
  <si>
    <t>Foreman: Mr. Cương</t>
  </si>
  <si>
    <t>SC700</t>
  </si>
  <si>
    <t>SW1260</t>
  </si>
  <si>
    <t>Stephen &amp; Beth Leathers (Formerly Chester &amp; Pamela Buckenmaier)</t>
  </si>
  <si>
    <t>na</t>
  </si>
  <si>
    <t xml:space="preserve">3.5 weeks cycle, planned to ship around 10th Nov. </t>
  </si>
  <si>
    <t>SC701</t>
  </si>
  <si>
    <t>Pro Sail Asia</t>
  </si>
  <si>
    <t>Alvaro Takiuti</t>
  </si>
  <si>
    <t>Departed to Thailand on the 20th of January, doing handover process in Thailand</t>
  </si>
  <si>
    <t>launched on 8th January 2025</t>
  </si>
  <si>
    <t>late parts</t>
  </si>
  <si>
    <t>Launch</t>
  </si>
  <si>
    <t>SC702</t>
  </si>
  <si>
    <t>WYS</t>
  </si>
  <si>
    <t xml:space="preserve">Khalid Al-Humaidhi &amp; Carrilyn Evans </t>
  </si>
  <si>
    <t>SC703</t>
  </si>
  <si>
    <t>MC. Launch after Tet</t>
  </si>
  <si>
    <t>Bernard O'Sullivan &amp; Caryn Musgrave</t>
  </si>
  <si>
    <t>launched on 12th February 2025</t>
  </si>
  <si>
    <t>SC704</t>
  </si>
  <si>
    <t>William &amp; Jennifer Iwanski</t>
  </si>
  <si>
    <t xml:space="preserve">Shipped exactly on planned completion date, 22nd February </t>
  </si>
  <si>
    <t>shipped on 22nd February 2025</t>
  </si>
  <si>
    <t>SC730</t>
  </si>
  <si>
    <t>04 july 2024</t>
  </si>
  <si>
    <t xml:space="preserve">Stock  </t>
  </si>
  <si>
    <t>No contract received yet</t>
  </si>
  <si>
    <t>3.5 weeks cycle</t>
  </si>
  <si>
    <t>Stored  - Stock boat</t>
  </si>
  <si>
    <t>SC731</t>
  </si>
  <si>
    <t xml:space="preserve">SW1260 </t>
  </si>
  <si>
    <t>LAM H&amp;D</t>
  </si>
  <si>
    <t>Stored - Stock boat</t>
  </si>
  <si>
    <t>SC732</t>
  </si>
  <si>
    <t xml:space="preserve">Ross Bamford </t>
  </si>
  <si>
    <t>Ready for shipping on 30th April, actually shipped on 10th of May</t>
  </si>
  <si>
    <t>Shipped</t>
  </si>
  <si>
    <t>SC733</t>
  </si>
  <si>
    <t>Finishline</t>
  </si>
  <si>
    <t>Dustin Jones</t>
  </si>
  <si>
    <t xml:space="preserve">Boat has left on 20th of June
</t>
  </si>
  <si>
    <t>stop Sat OT</t>
  </si>
  <si>
    <t>SC734</t>
  </si>
  <si>
    <t>Factory</t>
  </si>
  <si>
    <t xml:space="preserve">Boat has been launched on 8th July and departed to Thailand on 15th of July.
</t>
  </si>
  <si>
    <t xml:space="preserve">3.5 weeks cycle, launching planned for 17th July </t>
  </si>
  <si>
    <t>OC ender install</t>
  </si>
  <si>
    <t>SC735</t>
  </si>
  <si>
    <t>ISSUED, but not accurate yet</t>
  </si>
  <si>
    <t>Paul and Barbara Raney</t>
  </si>
  <si>
    <t>SC736</t>
  </si>
  <si>
    <t>Charles &amp; Suzanne Gilbert</t>
  </si>
  <si>
    <t>Boat had been shipped on 06 October 2025</t>
  </si>
  <si>
    <t>SC737</t>
  </si>
  <si>
    <t>6 March 26</t>
  </si>
  <si>
    <t>MC - AU</t>
  </si>
  <si>
    <t xml:space="preserve">Steffan Stones </t>
  </si>
  <si>
    <t>4 weeks cycle</t>
  </si>
  <si>
    <t>SC738</t>
  </si>
  <si>
    <t>Doug Nixon</t>
  </si>
  <si>
    <t xml:space="preserve">5 weeks cycle </t>
  </si>
  <si>
    <t>SC739</t>
  </si>
  <si>
    <t>David and Jill Barnhurst</t>
  </si>
  <si>
    <t>SC770</t>
  </si>
  <si>
    <t>SC773</t>
  </si>
  <si>
    <t>issue neg kit</t>
  </si>
  <si>
    <t>DYS</t>
  </si>
  <si>
    <t>electric</t>
  </si>
  <si>
    <t>Victron</t>
  </si>
  <si>
    <t>Battery arrival</t>
  </si>
  <si>
    <t>Electr motor arrival</t>
  </si>
  <si>
    <t>Testing</t>
  </si>
  <si>
    <t>SC771</t>
  </si>
  <si>
    <t>SC777</t>
  </si>
  <si>
    <r>
      <t>Mordue</t>
    </r>
    <r>
      <rPr>
        <sz val="11"/>
        <color rgb="FFFF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Electric boat</t>
    </r>
  </si>
  <si>
    <t>SC772</t>
  </si>
  <si>
    <t>SC778</t>
  </si>
  <si>
    <t>order engines</t>
  </si>
  <si>
    <t>Storage, requested by owner</t>
  </si>
  <si>
    <t>SC776</t>
  </si>
  <si>
    <t>23-Oct+25</t>
  </si>
  <si>
    <t>SW1270-01</t>
  </si>
  <si>
    <t>H&amp;D 1270</t>
  </si>
  <si>
    <t>Max transit time to Annapolis</t>
  </si>
  <si>
    <t>ABS</t>
  </si>
  <si>
    <t>SW1270-02</t>
  </si>
  <si>
    <t>BARBER</t>
  </si>
  <si>
    <t>SC811</t>
  </si>
  <si>
    <t>SW1270-03</t>
  </si>
  <si>
    <t>galley up</t>
  </si>
  <si>
    <t>SC812</t>
  </si>
  <si>
    <t>SW1270-04</t>
  </si>
  <si>
    <t>DONNELLY</t>
  </si>
  <si>
    <t>SC813</t>
  </si>
  <si>
    <t>SW1270-05</t>
  </si>
  <si>
    <t>SC814</t>
  </si>
  <si>
    <t>SW1270-06</t>
  </si>
  <si>
    <t>SC815</t>
  </si>
  <si>
    <t>SW1270-07</t>
  </si>
  <si>
    <t>SC816</t>
  </si>
  <si>
    <t>SW1270-08</t>
  </si>
  <si>
    <t>SC817</t>
  </si>
  <si>
    <t>SW1270-09</t>
  </si>
  <si>
    <t>SC818</t>
  </si>
  <si>
    <t>SW1270-10</t>
  </si>
  <si>
    <t xml:space="preserve"> </t>
  </si>
  <si>
    <t>SC819</t>
  </si>
  <si>
    <t>SW1270-11</t>
  </si>
  <si>
    <t>SC820</t>
  </si>
  <si>
    <t>SW1270-12</t>
  </si>
  <si>
    <t>SC821</t>
  </si>
  <si>
    <t>SW1270-13</t>
  </si>
  <si>
    <t>SC822</t>
  </si>
  <si>
    <t>SW1270-14</t>
  </si>
  <si>
    <t>SC615</t>
  </si>
  <si>
    <t>SW1370</t>
  </si>
  <si>
    <t>Peter Harrison</t>
  </si>
  <si>
    <t>n/a</t>
  </si>
  <si>
    <t xml:space="preserve">4 weeks cycle </t>
  </si>
  <si>
    <t>QC</t>
  </si>
  <si>
    <t>Standby at SSY</t>
  </si>
  <si>
    <t>SC616</t>
  </si>
  <si>
    <t>Tony &amp; Margaret Schnaars</t>
  </si>
  <si>
    <t>FO4</t>
  </si>
  <si>
    <t>FIN</t>
  </si>
  <si>
    <t>SC617</t>
  </si>
  <si>
    <t>Finish Line - US</t>
  </si>
  <si>
    <t>Andrew Pratt</t>
  </si>
  <si>
    <t>FO3</t>
  </si>
  <si>
    <t>SC618</t>
  </si>
  <si>
    <t>WYS - US</t>
  </si>
  <si>
    <t>Mark Long - considering launching</t>
  </si>
  <si>
    <t>Completed as per schedule</t>
  </si>
  <si>
    <t>Shipped on 19th February</t>
  </si>
  <si>
    <t>4W</t>
  </si>
  <si>
    <t>SC619</t>
  </si>
  <si>
    <t>Steve Jordan</t>
  </si>
  <si>
    <t>moved to storage on 19th February, launched on 14th April, departed to Thailand on 24th April. Long storage time due to owners paperwork, and full launching schedule.</t>
  </si>
  <si>
    <t>CMI</t>
  </si>
  <si>
    <t>SC620</t>
  </si>
  <si>
    <t>Brian &amp; Kristal Autry</t>
  </si>
  <si>
    <t>Boat was launched on 31st March, and departed to Thailand on 8th April</t>
  </si>
  <si>
    <t>A4</t>
  </si>
  <si>
    <t>SC621</t>
  </si>
  <si>
    <t>Damian Mulcock</t>
  </si>
  <si>
    <t xml:space="preserve">Boat was completed on schedule. Currently stored at 1600 line. Planned to launch on 6th of May. </t>
  </si>
  <si>
    <t>A3</t>
  </si>
  <si>
    <t>Fit deck</t>
  </si>
  <si>
    <t>SC622</t>
  </si>
  <si>
    <t xml:space="preserve">Sail Away </t>
  </si>
  <si>
    <t>John Green (ex SC722)</t>
  </si>
  <si>
    <t> Contract received</t>
  </si>
  <si>
    <t xml:space="preserve">Loading took place on 26th of May. </t>
  </si>
  <si>
    <t>A2</t>
  </si>
  <si>
    <t>Loading</t>
  </si>
  <si>
    <t>SC623</t>
  </si>
  <si>
    <t>Robin Wessel</t>
  </si>
  <si>
    <t>Boat has been wrapped on 22nd of May and put to SSY storage. Shipping took place on 10th June 2025</t>
  </si>
  <si>
    <t xml:space="preserve">Assyembly-1-IGU  </t>
  </si>
  <si>
    <t>SC624</t>
  </si>
  <si>
    <t>Mark &amp; Carolyn Jablow</t>
  </si>
  <si>
    <t xml:space="preserve">boat was launched on 12th June, (slight delay due to owners paperwork)
</t>
  </si>
  <si>
    <t>Lam Hull 3 weeks</t>
  </si>
  <si>
    <t>Deck on</t>
  </si>
  <si>
    <t>SC625</t>
  </si>
  <si>
    <t>SW1370-26</t>
  </si>
  <si>
    <t>Chris Kubara</t>
  </si>
  <si>
    <t>Lam Hull 4 weeks</t>
  </si>
  <si>
    <t>Storage estimated duration</t>
  </si>
  <si>
    <t>SC626</t>
  </si>
  <si>
    <t>SW1370-27</t>
  </si>
  <si>
    <t>Tyler &amp; Sheila Seick</t>
  </si>
  <si>
    <t>Boat has been completed on time, and has been launced on 14th July</t>
  </si>
  <si>
    <t>SC627</t>
  </si>
  <si>
    <t>SW1370-28</t>
  </si>
  <si>
    <t>Geoff St Clair</t>
  </si>
  <si>
    <t>Launched already, depart to Thailand on Monday, 07 October 2025</t>
  </si>
  <si>
    <t xml:space="preserve">3 weeks cycle, </t>
  </si>
  <si>
    <t>SC628</t>
  </si>
  <si>
    <t>SW1370-29</t>
  </si>
  <si>
    <t>John Clifford</t>
  </si>
  <si>
    <t xml:space="preserve">Launched already
</t>
  </si>
  <si>
    <t>3 weeks cycle</t>
  </si>
  <si>
    <t>SC629</t>
  </si>
  <si>
    <t>SW1370-30</t>
  </si>
  <si>
    <t xml:space="preserve">MC </t>
  </si>
  <si>
    <r>
      <t xml:space="preserve">Gerald Forbes, </t>
    </r>
    <r>
      <rPr>
        <sz val="11"/>
        <color rgb="FFFF0000"/>
        <rFont val="Calibri"/>
        <family val="2"/>
      </rPr>
      <t>grey water tank</t>
    </r>
  </si>
  <si>
    <t>Launched already</t>
  </si>
  <si>
    <t>SC630</t>
  </si>
  <si>
    <t>SW1370-31</t>
  </si>
  <si>
    <t>Richard Erlam</t>
  </si>
  <si>
    <t>SC631</t>
  </si>
  <si>
    <t>SW1370-32</t>
  </si>
  <si>
    <t>AYS</t>
  </si>
  <si>
    <t>John Ashwood</t>
  </si>
  <si>
    <t>Boat had been launched &amp; finished the sea trials. Sitting at Bien Dong port waiting for Phil to do the handover</t>
  </si>
  <si>
    <t>SC632</t>
  </si>
  <si>
    <t>SW1370-33</t>
  </si>
  <si>
    <t>Michael Gourlay</t>
  </si>
  <si>
    <t>Boat is finished. Curently store in 1600 shed, waiting for shipping (shipping confirm, load on 07/11/2025)</t>
  </si>
  <si>
    <t>2.5 weeks cycle</t>
  </si>
  <si>
    <t>SC633</t>
  </si>
  <si>
    <t>SW1370-34</t>
  </si>
  <si>
    <t>Goodwin</t>
  </si>
  <si>
    <t>Boat is 98% completed, currently working final QC checklist &amp; confirm shipping with the customer</t>
  </si>
  <si>
    <t>Lam Hull</t>
  </si>
  <si>
    <t>Assy1 IGU</t>
  </si>
  <si>
    <t>SC634</t>
  </si>
  <si>
    <t>SW1370-35</t>
  </si>
  <si>
    <t xml:space="preserve">Robb   </t>
  </si>
  <si>
    <t>Finished &amp; Launched on 17/12/2025
Depart to Thailand on 23/12/2025</t>
  </si>
  <si>
    <t>SC635</t>
  </si>
  <si>
    <t>BB with negative kit and common items</t>
  </si>
  <si>
    <t>SW1370-36</t>
  </si>
  <si>
    <t xml:space="preserve">AVAILABLE </t>
  </si>
  <si>
    <t>Available</t>
  </si>
  <si>
    <t>SC636</t>
  </si>
  <si>
    <t>SW1370-37</t>
  </si>
  <si>
    <t>Stefan &amp; Tanja Lecher</t>
  </si>
  <si>
    <t>Partial 3.5 weeks cycle</t>
  </si>
  <si>
    <t>SC637</t>
  </si>
  <si>
    <t>SW1370-38</t>
  </si>
  <si>
    <t>Sail away</t>
  </si>
  <si>
    <t>DONALD E WEBB</t>
  </si>
  <si>
    <t>SC638</t>
  </si>
  <si>
    <t>SW1370-39</t>
  </si>
  <si>
    <t>DOUG FLINN &amp; MANDY STUDEBAKER</t>
  </si>
  <si>
    <t>SC639</t>
  </si>
  <si>
    <t>SW1370-40</t>
  </si>
  <si>
    <t>JACK CHEN &amp; CHARLENE ZHOU</t>
  </si>
  <si>
    <t>SC650</t>
  </si>
  <si>
    <t>SW1370-41</t>
  </si>
  <si>
    <t>Multihull Central</t>
  </si>
  <si>
    <t>HAMISH &amp; SHEREEN JOLLY</t>
  </si>
  <si>
    <t>SC651</t>
  </si>
  <si>
    <t>SW1370-42</t>
  </si>
  <si>
    <t>TOM UNGER &amp; ELAN KATRA</t>
  </si>
  <si>
    <t>Partial 4 weeks cycle</t>
  </si>
  <si>
    <t>SC652</t>
  </si>
  <si>
    <t>SW1370-43</t>
  </si>
  <si>
    <t>JASON &amp; CONNIE CHAN</t>
  </si>
  <si>
    <t>SC653</t>
  </si>
  <si>
    <t>SW1370-44</t>
  </si>
  <si>
    <t>PAUL &amp; LISA DAMP</t>
  </si>
  <si>
    <t>SC654</t>
  </si>
  <si>
    <t>SW1370-45</t>
  </si>
  <si>
    <t>SC655</t>
  </si>
  <si>
    <t>SW1370-46</t>
  </si>
  <si>
    <t>SIMON &amp; NICOLE CAMERON</t>
  </si>
  <si>
    <t>SC656</t>
  </si>
  <si>
    <t> Pending WO</t>
  </si>
  <si>
    <t>SW1370-47</t>
  </si>
  <si>
    <t>SC657</t>
  </si>
  <si>
    <t>SW1370-48</t>
  </si>
  <si>
    <t>SC658</t>
  </si>
  <si>
    <t>SW1370-49</t>
  </si>
  <si>
    <t>Lynch</t>
  </si>
  <si>
    <t>SC659</t>
  </si>
  <si>
    <t>SW1370-50</t>
  </si>
  <si>
    <t>SC680</t>
  </si>
  <si>
    <t>SW1370-51</t>
  </si>
  <si>
    <t>Hooper</t>
  </si>
  <si>
    <t>SC681</t>
  </si>
  <si>
    <t>SC682</t>
  </si>
  <si>
    <t>SC683</t>
  </si>
  <si>
    <t>SC684</t>
  </si>
  <si>
    <t>SC685</t>
  </si>
  <si>
    <t>Frank</t>
  </si>
  <si>
    <t>SC686</t>
  </si>
  <si>
    <t>SC687</t>
  </si>
  <si>
    <t>Bilbrey</t>
  </si>
  <si>
    <t>SC688</t>
  </si>
  <si>
    <t>SC689</t>
  </si>
  <si>
    <t>Hoe Yeen Teck</t>
  </si>
  <si>
    <t>SC720</t>
  </si>
  <si>
    <t>SC721</t>
  </si>
  <si>
    <t>Stock boat</t>
  </si>
  <si>
    <t>SC722</t>
  </si>
  <si>
    <t>Adler</t>
  </si>
  <si>
    <t>SC723</t>
  </si>
  <si>
    <t>Jett</t>
  </si>
  <si>
    <t>N/A</t>
  </si>
  <si>
    <t>SC724</t>
  </si>
  <si>
    <t>Senter</t>
  </si>
  <si>
    <t>SC725</t>
  </si>
  <si>
    <t>Killya</t>
  </si>
  <si>
    <t>SC726</t>
  </si>
  <si>
    <t>SC727</t>
  </si>
  <si>
    <t>Dudar</t>
  </si>
  <si>
    <t>SC728</t>
  </si>
  <si>
    <t>Neumann</t>
  </si>
  <si>
    <t>SC729</t>
  </si>
  <si>
    <t>SC790</t>
  </si>
  <si>
    <t>SC791</t>
  </si>
  <si>
    <t>SC792</t>
  </si>
  <si>
    <t>SC793</t>
  </si>
  <si>
    <t>Ford</t>
  </si>
  <si>
    <t>SC794</t>
  </si>
  <si>
    <t>SC795</t>
  </si>
  <si>
    <t>SC796</t>
  </si>
  <si>
    <t>SC797</t>
  </si>
  <si>
    <t>SC798</t>
  </si>
  <si>
    <t>SC799</t>
  </si>
  <si>
    <t>SC800</t>
  </si>
  <si>
    <t>SC801</t>
  </si>
  <si>
    <t>SC802</t>
  </si>
  <si>
    <t>SC803</t>
  </si>
  <si>
    <t>SC804</t>
  </si>
  <si>
    <t>SC805</t>
  </si>
  <si>
    <t>SC806</t>
  </si>
  <si>
    <t>SC807</t>
  </si>
  <si>
    <t>SC808</t>
  </si>
  <si>
    <t>SC809</t>
  </si>
  <si>
    <t>SC823</t>
  </si>
  <si>
    <t>SC824</t>
  </si>
  <si>
    <t>SC825</t>
  </si>
  <si>
    <t>SC826</t>
  </si>
  <si>
    <t>SC827</t>
  </si>
  <si>
    <t>SC828</t>
  </si>
  <si>
    <t>SC829</t>
  </si>
  <si>
    <t>SC830</t>
  </si>
  <si>
    <t>Foreman: Mr. Hạnh</t>
  </si>
  <si>
    <t>SC709</t>
  </si>
  <si>
    <t>SW1600</t>
  </si>
  <si>
    <r>
      <t>David Gorodetski,</t>
    </r>
    <r>
      <rPr>
        <sz val="11"/>
        <color rgb="FFFF0000"/>
        <rFont val="Calibri"/>
        <family val="2"/>
        <scheme val="minor"/>
      </rPr>
      <t xml:space="preserve"> changed from launching to shipping</t>
    </r>
  </si>
  <si>
    <t>Completed by 20th December. Shipped on 16th January 2024</t>
  </si>
  <si>
    <t>9 weeks LAM cycle</t>
  </si>
  <si>
    <t>QC &amp; Final</t>
  </si>
  <si>
    <t>SC740</t>
  </si>
  <si>
    <t>basic WO, have option list</t>
  </si>
  <si>
    <t xml:space="preserve">David Craft </t>
  </si>
  <si>
    <t>Boat is ready for local launch</t>
  </si>
  <si>
    <t>16 weeks cycle</t>
  </si>
  <si>
    <t>1600 line storage</t>
  </si>
  <si>
    <t>Modification works</t>
  </si>
  <si>
    <t>Storage as per owner request</t>
  </si>
  <si>
    <t>SC741</t>
  </si>
  <si>
    <t>Michael Marston</t>
  </si>
  <si>
    <t>Boat had been shipped</t>
  </si>
  <si>
    <t>20 weeks cycle, from FO2</t>
  </si>
  <si>
    <t>Load &amp; ship</t>
  </si>
  <si>
    <t>SC742</t>
  </si>
  <si>
    <t>20 weeks cycle, from FO1</t>
  </si>
  <si>
    <t>estimated time at SSY storage (at 1600 line)</t>
  </si>
  <si>
    <t>SC743</t>
  </si>
  <si>
    <t>20 weeks cycle, from ASSY2</t>
  </si>
  <si>
    <t xml:space="preserve">Deck on </t>
  </si>
  <si>
    <t>Assy2 -12 weeks cycle</t>
  </si>
  <si>
    <t>Storage, waiting for local launch</t>
  </si>
  <si>
    <t>SC744</t>
  </si>
  <si>
    <t>12 weeks cycle for ASS.2, FO.1, FO.2</t>
  </si>
  <si>
    <t>Hull Lamination</t>
  </si>
  <si>
    <t>due to the unclear plan &amp; owner, SC744 only has the mainhull finished at the momment, it will cost Danny 3 weeks after the confirm date to restart 1600 before he can start to infuse the deck</t>
  </si>
  <si>
    <t>Restart 744</t>
  </si>
  <si>
    <t>Deck infuse</t>
  </si>
  <si>
    <t>Assy2</t>
  </si>
  <si>
    <t>Trimaran sector</t>
  </si>
  <si>
    <t>Stock</t>
  </si>
  <si>
    <t>760STD</t>
  </si>
  <si>
    <t>LAM</t>
  </si>
  <si>
    <t>BFD</t>
  </si>
  <si>
    <t>Join</t>
  </si>
  <si>
    <t>Fitout</t>
  </si>
  <si>
    <t>Finish</t>
  </si>
  <si>
    <t>760R</t>
  </si>
  <si>
    <t>Spare time for LAM shop materials order</t>
  </si>
  <si>
    <t>880TSD</t>
  </si>
  <si>
    <t>880SPORT</t>
  </si>
  <si>
    <t>Fin</t>
  </si>
  <si>
    <t>880STD</t>
  </si>
  <si>
    <t>970STD</t>
  </si>
  <si>
    <t>Deposit</t>
  </si>
  <si>
    <t>Electrical</t>
  </si>
  <si>
    <t>Shipped already</t>
  </si>
  <si>
    <t>Start construction</t>
  </si>
  <si>
    <t>Boat is completed as stock boat configuration. Currently in storage at 1600 shade beside SC625</t>
  </si>
  <si>
    <t>Boat is completed &amp; ready for local launch on Monday, 12 &amp; 13 January 2026</t>
  </si>
  <si>
    <t>Stock boat, currently completed as stock boat configuration</t>
  </si>
  <si>
    <t>John Dingman</t>
  </si>
  <si>
    <t>MARTINUS ADRIANUS VAN LIER</t>
  </si>
  <si>
    <t>230V - AU specs
30HP inboard engines</t>
  </si>
  <si>
    <t>110V 
30HP inboard engines</t>
  </si>
  <si>
    <t>110V - US specs
30Hp inboard engines</t>
  </si>
  <si>
    <t>Finishing &amp; testing</t>
  </si>
  <si>
    <t>24/02/2026
Basic WO</t>
  </si>
  <si>
    <t>24/02/2026
Basic WO - stock boat</t>
  </si>
  <si>
    <t>Boat had been shipped on 10 February 2026</t>
  </si>
  <si>
    <t>Boat is currently at ASS.2 stage</t>
  </si>
  <si>
    <t>Update by: Khanh</t>
  </si>
  <si>
    <t>6 weeks cycle</t>
  </si>
  <si>
    <t>SC853</t>
  </si>
  <si>
    <t>SC854</t>
  </si>
  <si>
    <t>SC855</t>
  </si>
  <si>
    <t>SC856</t>
  </si>
  <si>
    <t>SC857</t>
  </si>
  <si>
    <t>1160XL-14</t>
  </si>
  <si>
    <t>1160XL-15</t>
  </si>
  <si>
    <t>1160XL-16</t>
  </si>
  <si>
    <t>1160XL-17</t>
  </si>
  <si>
    <t>Need confirmation if we transfer this to another model</t>
  </si>
  <si>
    <t>Dealer Stock</t>
  </si>
  <si>
    <t>SA</t>
  </si>
  <si>
    <t>CANCELLED</t>
  </si>
  <si>
    <t>6 week</t>
  </si>
  <si>
    <t>5 week</t>
  </si>
  <si>
    <t xml:space="preserve"> = Unsold</t>
  </si>
  <si>
    <t>SC860</t>
  </si>
  <si>
    <t>SW1160XL-21</t>
  </si>
  <si>
    <t>SC859</t>
  </si>
  <si>
    <t>SW1160XL-20</t>
  </si>
  <si>
    <t>SC858</t>
  </si>
  <si>
    <t>SW1160XL-19</t>
  </si>
  <si>
    <t>SW1160XL-18</t>
  </si>
  <si>
    <t>SW1160XL-17</t>
  </si>
  <si>
    <t>SW1160XL-16</t>
  </si>
  <si>
    <t>SW1160XL-15</t>
  </si>
  <si>
    <t xml:space="preserve">Not confirm </t>
  </si>
  <si>
    <t>SW1160XL-14</t>
  </si>
  <si>
    <t>SW1160XL-13</t>
  </si>
  <si>
    <t>SW1160XL-12</t>
  </si>
  <si>
    <t>SW1160XL-11</t>
  </si>
  <si>
    <t>NA Yet</t>
  </si>
  <si>
    <t>WCM</t>
  </si>
  <si>
    <t>SW1160XL-10</t>
  </si>
  <si>
    <t xml:space="preserve">Lamination </t>
  </si>
  <si>
    <t>Diesel 30hp</t>
  </si>
  <si>
    <t>230V</t>
  </si>
  <si>
    <t>Poss MC - NZ Cruze Club</t>
  </si>
  <si>
    <t>SW1160XL-09</t>
  </si>
  <si>
    <t>FRP complete</t>
  </si>
  <si>
    <t>SW1160XL-08</t>
  </si>
  <si>
    <t>O/B 50hp</t>
  </si>
  <si>
    <t>SW1160XL-07</t>
  </si>
  <si>
    <t>70% complete</t>
  </si>
  <si>
    <t>SW1160XL-06</t>
  </si>
  <si>
    <t>90% complete</t>
  </si>
  <si>
    <t>SW1160XL-05</t>
  </si>
  <si>
    <t>Completed</t>
  </si>
  <si>
    <t>110V</t>
  </si>
  <si>
    <t>Poss Windcraft</t>
  </si>
  <si>
    <t>SW1160XL-04</t>
  </si>
  <si>
    <t>SW1160XL-03</t>
  </si>
  <si>
    <t>O/B 25hp</t>
  </si>
  <si>
    <t>SW1160 Resort</t>
  </si>
  <si>
    <t>SW1160R</t>
  </si>
  <si>
    <t>Completion Date</t>
  </si>
  <si>
    <t>Current Status</t>
  </si>
  <si>
    <t>Cycle Time</t>
  </si>
  <si>
    <t>Start Date</t>
  </si>
  <si>
    <t>Price</t>
  </si>
  <si>
    <t>Contract Date</t>
  </si>
  <si>
    <t>Version</t>
  </si>
  <si>
    <t>Propulsion</t>
  </si>
  <si>
    <t>Owner</t>
  </si>
  <si>
    <t>Unsold</t>
  </si>
  <si>
    <t>SW1160XL : Production Plan 2026</t>
  </si>
  <si>
    <t>Contract Comp. Date</t>
  </si>
  <si>
    <t>Ship/Launch</t>
  </si>
  <si>
    <t>1170-</t>
  </si>
  <si>
    <t>SC831</t>
  </si>
  <si>
    <t>Rice</t>
  </si>
  <si>
    <t>Completed in Fact.</t>
  </si>
  <si>
    <t>SC832</t>
  </si>
  <si>
    <t>Hort</t>
  </si>
  <si>
    <t>SC833</t>
  </si>
  <si>
    <t>SWF</t>
  </si>
  <si>
    <t>Unutmaz</t>
  </si>
  <si>
    <t>Q2 2025</t>
  </si>
  <si>
    <t>Finished / Still in Fact</t>
  </si>
  <si>
    <t>SC834</t>
  </si>
  <si>
    <t>Pick</t>
  </si>
  <si>
    <t>FO Final</t>
  </si>
  <si>
    <t>SC835</t>
  </si>
  <si>
    <t>SC836</t>
  </si>
  <si>
    <t>Haas</t>
  </si>
  <si>
    <t>SC837</t>
  </si>
  <si>
    <t>C Hort</t>
  </si>
  <si>
    <t>SC838</t>
  </si>
  <si>
    <t>Stringer</t>
  </si>
  <si>
    <t>SC839</t>
  </si>
  <si>
    <t>Jacques</t>
  </si>
  <si>
    <t>IGU in Moulds</t>
  </si>
  <si>
    <t>NYA</t>
  </si>
  <si>
    <t>SC840</t>
  </si>
  <si>
    <t>McIntyre</t>
  </si>
  <si>
    <t xml:space="preserve"> 8 weeks</t>
  </si>
  <si>
    <t xml:space="preserve">Not yet started </t>
  </si>
  <si>
    <t>SC841</t>
  </si>
  <si>
    <t>SC842</t>
  </si>
  <si>
    <t>SC843</t>
  </si>
  <si>
    <t>SC844</t>
  </si>
  <si>
    <t>SC845</t>
  </si>
  <si>
    <t>8 weeks</t>
  </si>
  <si>
    <t>Harper</t>
  </si>
  <si>
    <t xml:space="preserve">  = Unsold</t>
  </si>
  <si>
    <t>SC</t>
  </si>
  <si>
    <t>SC#</t>
  </si>
  <si>
    <t>Contract Start Date</t>
  </si>
  <si>
    <t>Contract Completion Date</t>
  </si>
  <si>
    <t>FL</t>
  </si>
  <si>
    <t>Barnhurst</t>
  </si>
  <si>
    <t>Marins</t>
  </si>
  <si>
    <t>Sevilla</t>
  </si>
  <si>
    <t>Horton</t>
  </si>
  <si>
    <t>F/O 2</t>
  </si>
  <si>
    <t>Morton</t>
  </si>
  <si>
    <t>F/O2</t>
  </si>
  <si>
    <t>Jewell</t>
  </si>
  <si>
    <t>F/O1</t>
  </si>
  <si>
    <t>1270-01</t>
  </si>
  <si>
    <t>5 weeks</t>
  </si>
  <si>
    <t>ASS 1</t>
  </si>
  <si>
    <t>1270-02</t>
  </si>
  <si>
    <t>Barber</t>
  </si>
  <si>
    <t xml:space="preserve">3 cab / galley down </t>
  </si>
  <si>
    <t>Lamination / IGU</t>
  </si>
  <si>
    <t>1270-03</t>
  </si>
  <si>
    <t xml:space="preserve">Windcraft </t>
  </si>
  <si>
    <t>3 cab / galley up</t>
  </si>
  <si>
    <t xml:space="preserve">5 weeks </t>
  </si>
  <si>
    <t>1270-04</t>
  </si>
  <si>
    <t>Donnelly</t>
  </si>
  <si>
    <t xml:space="preserve">4 weeks </t>
  </si>
  <si>
    <t>1270-05</t>
  </si>
  <si>
    <t>1270-06</t>
  </si>
  <si>
    <t>1270-07</t>
  </si>
  <si>
    <t>Kilya</t>
  </si>
  <si>
    <t>1270-08</t>
  </si>
  <si>
    <t>1270-09</t>
  </si>
  <si>
    <t>1270-10</t>
  </si>
  <si>
    <t>1270-11</t>
  </si>
  <si>
    <t>1270-12</t>
  </si>
  <si>
    <t>SW1370 - 6 week cycle</t>
  </si>
  <si>
    <t>Ship / Launch</t>
  </si>
  <si>
    <t>Kubara</t>
  </si>
  <si>
    <t>Diesel</t>
  </si>
  <si>
    <t xml:space="preserve">Completed </t>
  </si>
  <si>
    <t>Lecher</t>
  </si>
  <si>
    <t>Launched</t>
  </si>
  <si>
    <t>Webb</t>
  </si>
  <si>
    <t>Flinn</t>
  </si>
  <si>
    <t>Ship</t>
  </si>
  <si>
    <t>Chen</t>
  </si>
  <si>
    <t>Jolly</t>
  </si>
  <si>
    <t>Unger</t>
  </si>
  <si>
    <t>Chan</t>
  </si>
  <si>
    <t>Damp</t>
  </si>
  <si>
    <t xml:space="preserve">6 weeks </t>
  </si>
  <si>
    <t>Cameron</t>
  </si>
  <si>
    <t xml:space="preserve">110V </t>
  </si>
  <si>
    <t>Abortiz</t>
  </si>
  <si>
    <t>Kilyar</t>
  </si>
  <si>
    <t>Barron</t>
  </si>
  <si>
    <t>Miller</t>
  </si>
  <si>
    <t>F/O Final</t>
  </si>
  <si>
    <t>Moeller</t>
  </si>
  <si>
    <t xml:space="preserve">Stock </t>
  </si>
  <si>
    <t>ASSY</t>
  </si>
  <si>
    <t>GARRY BAYLEY</t>
  </si>
  <si>
    <t>SAILAWAY CATAMARANS</t>
  </si>
  <si>
    <t>TONY &amp; WENDY ARUNDELL</t>
  </si>
  <si>
    <t>MULTIHULL CENTRAL</t>
  </si>
  <si>
    <t>230V
50HP outboard</t>
  </si>
  <si>
    <t>Had been shipped on 03 Aprril 2026</t>
  </si>
  <si>
    <t>LEANDRO MARTINS</t>
  </si>
  <si>
    <t>Had been launched by end of March 2026</t>
  </si>
  <si>
    <t>had been shipped by end of March 2026</t>
  </si>
  <si>
    <t>Had been shipped in 11 April 2026</t>
  </si>
  <si>
    <t>Boat is currently at ASS.1 - IGU stage</t>
  </si>
  <si>
    <t>Completed as planned, waiting for shipping solution</t>
  </si>
  <si>
    <t>Sailaway Catamarans</t>
  </si>
  <si>
    <t>WINCRAFT - TOMMY CLARK</t>
  </si>
  <si>
    <t>1160XL-11</t>
  </si>
  <si>
    <t>Sc858</t>
  </si>
  <si>
    <t>1160XL-19</t>
  </si>
  <si>
    <t>1160XL-20</t>
  </si>
  <si>
    <t>ADAM &amp; DONNA CURTIS</t>
  </si>
  <si>
    <t>Had been shipped on 25th April 2026</t>
  </si>
  <si>
    <t>CRESWELL</t>
  </si>
  <si>
    <t>Had been shipped on 23 April 2026</t>
  </si>
  <si>
    <t>Taken away for 1190XLS</t>
  </si>
  <si>
    <t>1190XLS development start</t>
  </si>
  <si>
    <t>Gary Bayley</t>
  </si>
  <si>
    <t>Adam &amp; Donna curtis</t>
  </si>
  <si>
    <t>Creswell</t>
  </si>
  <si>
    <t xml:space="preserve">Basic WO </t>
  </si>
  <si>
    <t>110V - US boat
50HP outboard</t>
  </si>
  <si>
    <t>DENISON YACHT SALES</t>
  </si>
  <si>
    <t>BRAD &amp; LISA FAY</t>
  </si>
  <si>
    <t>SW1270-15</t>
  </si>
  <si>
    <t>SW1270-16</t>
  </si>
  <si>
    <t>DAVID COX</t>
  </si>
  <si>
    <t>LOUIS GUY &amp; CAROLYN DEL GUERCIO</t>
  </si>
  <si>
    <t>ASIA YACHT SERVICE LTD</t>
  </si>
  <si>
    <t>ERIC WONG &amp; YOLANDA FRANKLIN</t>
  </si>
  <si>
    <t>SC861</t>
  </si>
  <si>
    <t>SC862</t>
  </si>
  <si>
    <t>1160XL-22</t>
  </si>
  <si>
    <t xml:space="preserve">1160XL-18
</t>
  </si>
  <si>
    <t xml:space="preserve">1160XL-21
1190XLS </t>
  </si>
  <si>
    <t>1160XL-23
4 cabin available</t>
  </si>
  <si>
    <t>SC863</t>
  </si>
  <si>
    <t>1160XL-24</t>
  </si>
  <si>
    <t>DARREN JEWELL</t>
  </si>
  <si>
    <t>SAIL AWAY CATAMARANS</t>
  </si>
  <si>
    <t>WINDCRAFT</t>
  </si>
  <si>
    <t>FACTORY DIRECT</t>
  </si>
  <si>
    <t>FINISH LINE - US</t>
  </si>
  <si>
    <t>180 MARINE</t>
  </si>
  <si>
    <t>5 WEEKS CYCLE</t>
  </si>
  <si>
    <t>8 WEEKS CYCLE</t>
  </si>
  <si>
    <t>4 WEEKS CYCLE</t>
  </si>
  <si>
    <t>3.5 WEEKS CYCLE</t>
  </si>
  <si>
    <t>6 TO 7 WEEKS CYCLE</t>
  </si>
  <si>
    <t xml:space="preserve">5 WEEKS CYCLE </t>
  </si>
  <si>
    <t>3.5 weeks cycle. Shipping possible early june. Loaded onto barge on 20th June</t>
  </si>
  <si>
    <r>
      <t>3.5 weeks cycle,</t>
    </r>
    <r>
      <rPr>
        <b/>
        <sz val="11"/>
        <color rgb="FFFF0000"/>
        <rFont val="Calibri"/>
        <family val="2"/>
        <scheme val="minor"/>
      </rPr>
      <t xml:space="preserve"> </t>
    </r>
  </si>
  <si>
    <t>2.5 WEEKS CYCLE</t>
  </si>
  <si>
    <t xml:space="preserve">4 WEEKS CYCLE </t>
  </si>
  <si>
    <t xml:space="preserve">6 WEEKS CYCLE </t>
  </si>
  <si>
    <t>Foreman: Mr. Hà</t>
  </si>
  <si>
    <t>LYNCH</t>
  </si>
  <si>
    <t>HOOPER</t>
  </si>
  <si>
    <t>ABOITIZ</t>
  </si>
  <si>
    <t>BILBREY</t>
  </si>
  <si>
    <t>MORGAN BARRON</t>
  </si>
  <si>
    <t>TODD MILLER</t>
  </si>
  <si>
    <t>THOMAS MOELLER</t>
  </si>
  <si>
    <t>SEAWIND PRODUCTION SCHEDULE UPDATE 06/2026</t>
  </si>
  <si>
    <r>
      <t xml:space="preserve">departed to Pattaya on 19th February
</t>
    </r>
    <r>
      <rPr>
        <sz val="11"/>
        <color rgb="FFC00000"/>
        <rFont val="Calibri"/>
        <family val="2"/>
        <scheme val="minor"/>
      </rPr>
      <t xml:space="preserve">. </t>
    </r>
  </si>
  <si>
    <r>
      <t xml:space="preserve">Works recently completed: pulpit, stanchions fwd beam, A-frame, companionway flooring, galley benchtop, oven &amp; stove. Steering completed, washing machine isntalled, all windows in, antifouling paint, saloon flooring, heating system, aircon, deck hardware are all done
Currently working on final, detailing, timber fitout (85%), plumbing (85% done), electric works 90% completed, All deck hatches (composite &amp; lewmar are installed)
</t>
    </r>
    <r>
      <rPr>
        <sz val="11"/>
        <color rgb="FFFF0000"/>
        <rFont val="Calibri"/>
        <family val="2"/>
        <scheme val="minor"/>
      </rPr>
      <t>Currently we try to adjust helm window lifting system from alternativ supplier, tryign to complete on time. Aircon arrives this week, sails doing customs. (late to owner swap)</t>
    </r>
  </si>
  <si>
    <r>
      <t xml:space="preserve">Steering system is at 90%, electric is at 90%, plumbing and LPG is about to be completed. Boat will be completed on-time and ready for local launch as schedule. 
</t>
    </r>
    <r>
      <rPr>
        <sz val="11"/>
        <color rgb="FFC00000"/>
        <rFont val="Calibri"/>
        <family val="2"/>
        <scheme val="minor"/>
      </rPr>
      <t>Missing parts: washing machine might not be arrived on-time</t>
    </r>
  </si>
  <si>
    <r>
      <t xml:space="preserve">Stuart &amp; Victoria Walker </t>
    </r>
    <r>
      <rPr>
        <sz val="11"/>
        <color rgb="FFFF0000"/>
        <rFont val="Calibri"/>
        <family val="2"/>
      </rPr>
      <t>(40HP)</t>
    </r>
  </si>
  <si>
    <r>
      <t xml:space="preserve">SCOTT HORTON </t>
    </r>
    <r>
      <rPr>
        <b/>
        <sz val="11"/>
        <color rgb="FFFF0000"/>
        <rFont val="Calibri"/>
        <family val="2"/>
      </rPr>
      <t>Electric boat</t>
    </r>
  </si>
  <si>
    <t>230V
30HP inboard</t>
  </si>
  <si>
    <t>230V - AUS
30HP inboard</t>
  </si>
  <si>
    <t>110V - US boat
30HP inboard</t>
  </si>
  <si>
    <t>230V -AUS 
40HP inboard</t>
  </si>
  <si>
    <t xml:space="preserve">
</t>
  </si>
  <si>
    <r>
      <rPr>
        <sz val="11"/>
        <color theme="1"/>
        <rFont val="Calibri"/>
        <family val="2"/>
        <scheme val="minor"/>
      </rPr>
      <t>Boat is completed, only waiting for trampoline and 2nd engine to install.</t>
    </r>
    <r>
      <rPr>
        <b/>
        <sz val="11"/>
        <color rgb="FFEA0000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 xml:space="preserve">Trampoline and engine control cable by end of October. Outboard engines arrived on 16th Oct.  </t>
    </r>
  </si>
  <si>
    <r>
      <rPr>
        <b/>
        <sz val="11"/>
        <color theme="1"/>
        <rFont val="Calibri"/>
        <family val="2"/>
        <scheme val="minor"/>
      </rPr>
      <t xml:space="preserve">99% complete and ready for shipping. </t>
    </r>
    <r>
      <rPr>
        <sz val="11"/>
        <color theme="1"/>
        <rFont val="Calibri"/>
        <family val="2"/>
        <scheme val="minor"/>
      </rPr>
      <t xml:space="preserve">
Currently waiting on missing parts. Will be ready for shipping by the 2nd week of July.
Critical missing items: engine harness (19515(, aircon (22110), mooring lines (31625)</t>
    </r>
  </si>
  <si>
    <t>Approximately 90% complete. If all required items arrives on-time, boat will be ready for local launch by end of July 2026</t>
  </si>
  <si>
    <r>
      <t xml:space="preserve">Completed: </t>
    </r>
    <r>
      <rPr>
        <sz val="11"/>
        <color theme="1"/>
        <rFont val="Calibri"/>
        <family val="2"/>
        <scheme val="minor"/>
      </rPr>
      <t xml:space="preserve">deck joined. 
Working on: stanchion, deck hardware, steering, electric &amp; plumbing. </t>
    </r>
  </si>
  <si>
    <t xml:space="preserve">Start construction
</t>
  </si>
  <si>
    <r>
      <rPr>
        <b/>
        <sz val="11"/>
        <color theme="1"/>
        <rFont val="Calibri"/>
        <family val="2"/>
        <scheme val="minor"/>
      </rPr>
      <t>Completed:</t>
    </r>
    <r>
      <rPr>
        <sz val="11"/>
        <color theme="1"/>
        <rFont val="Calibri"/>
        <family val="2"/>
        <scheme val="minor"/>
      </rPr>
      <t xml:space="preserve"> deck joined, stanchion, engines in. 
</t>
    </r>
    <r>
      <rPr>
        <b/>
        <sz val="11"/>
        <color theme="1"/>
        <rFont val="Calibri"/>
        <family val="2"/>
        <scheme val="minor"/>
      </rPr>
      <t xml:space="preserve">Working on: </t>
    </r>
    <r>
      <rPr>
        <sz val="11"/>
        <color theme="1"/>
        <rFont val="Calibri"/>
        <family val="2"/>
        <scheme val="minor"/>
      </rPr>
      <t xml:space="preserve">Lifeline installation, deck hardware, windows, steering system, electric, plumbing and timber fitout </t>
    </r>
  </si>
  <si>
    <r>
      <rPr>
        <b/>
        <sz val="11"/>
        <color theme="1"/>
        <rFont val="Calibri"/>
        <family val="2"/>
        <scheme val="minor"/>
      </rPr>
      <t>Completed:</t>
    </r>
    <r>
      <rPr>
        <sz val="11"/>
        <color theme="1"/>
        <rFont val="Calibri"/>
        <family val="2"/>
        <scheme val="minor"/>
      </rPr>
      <t xml:space="preserve"> deck joined, engines in, IGU, fwd beam, trampoline, stanchion, targa seat &amp; s/s davits 
</t>
    </r>
    <r>
      <rPr>
        <b/>
        <sz val="11"/>
        <color theme="1"/>
        <rFont val="Calibri"/>
        <family val="2"/>
        <scheme val="minor"/>
      </rPr>
      <t>Working on:</t>
    </r>
    <r>
      <rPr>
        <sz val="11"/>
        <color theme="1"/>
        <rFont val="Calibri"/>
        <family val="2"/>
        <scheme val="minor"/>
      </rPr>
      <t xml:space="preserve"> windows &amp; hatches 60%, deck hardware 70%, electric 15%, plumbing 40%, timberfitout 40%, steering 35%. </t>
    </r>
  </si>
  <si>
    <r>
      <rPr>
        <b/>
        <sz val="11"/>
        <color theme="1"/>
        <rFont val="Calibri"/>
        <family val="2"/>
        <scheme val="minor"/>
      </rPr>
      <t xml:space="preserve">Completed: </t>
    </r>
    <r>
      <rPr>
        <sz val="11"/>
        <color theme="1"/>
        <rFont val="Calibri"/>
        <family val="2"/>
        <scheme val="minor"/>
      </rPr>
      <t xml:space="preserve">targa bar, stanchion, lifeline, liners, fwd beam, A-frame, trampoline, anchor box, targa seat (ss part), windows &amp; hatches, engines available, deck hardware completed. </t>
    </r>
    <r>
      <rPr>
        <b/>
        <sz val="11"/>
        <color theme="1"/>
        <rFont val="Calibri"/>
        <family val="2"/>
        <scheme val="minor"/>
      </rPr>
      <t xml:space="preserve">
Working on: </t>
    </r>
    <r>
      <rPr>
        <sz val="11"/>
        <color theme="1"/>
        <rFont val="Calibri"/>
        <family val="2"/>
        <scheme val="minor"/>
      </rPr>
      <t xml:space="preserve">electric 35%, plumbing 60%, steering 60%, timber fitout 60%. </t>
    </r>
  </si>
  <si>
    <t xml:space="preserve">Local launched by end of May. </t>
  </si>
  <si>
    <r>
      <t xml:space="preserve">Boat is 99% completed, ready for local launch. 
Critical missing items: </t>
    </r>
    <r>
      <rPr>
        <sz val="11"/>
        <rFont val="Calibri"/>
        <family val="2"/>
        <scheme val="minor"/>
      </rPr>
      <t>waterpump for generator</t>
    </r>
  </si>
  <si>
    <r>
      <rPr>
        <b/>
        <sz val="11"/>
        <color theme="1"/>
        <rFont val="Calibri"/>
        <family val="2"/>
        <scheme val="minor"/>
      </rPr>
      <t xml:space="preserve">Boat is 95% completed, looking for completion &amp; shipping around 2nd week of July.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 xml:space="preserve">Critical missing items: </t>
    </r>
    <r>
      <rPr>
        <sz val="11"/>
        <color theme="1"/>
        <rFont val="Calibri"/>
        <family val="2"/>
        <scheme val="minor"/>
      </rPr>
      <t>aircon pump, Combi master, SADO windows &amp; shower screen</t>
    </r>
  </si>
  <si>
    <r>
      <rPr>
        <b/>
        <sz val="11"/>
        <color theme="1"/>
        <rFont val="Calibri"/>
        <family val="2"/>
        <scheme val="minor"/>
      </rPr>
      <t>Boat is 85% complete</t>
    </r>
    <r>
      <rPr>
        <sz val="11"/>
        <color theme="1"/>
        <rFont val="Calibri"/>
        <family val="2"/>
        <scheme val="minor"/>
      </rPr>
      <t>. Ready for local launch as plan by first week of July. 
Critical missing items: mast standing rigging, full SADO windows set</t>
    </r>
  </si>
  <si>
    <r>
      <rPr>
        <b/>
        <sz val="11"/>
        <color theme="1"/>
        <rFont val="Calibri"/>
        <family val="2"/>
        <scheme val="minor"/>
      </rPr>
      <t xml:space="preserve">Boat is at FO.2 stage. </t>
    </r>
    <r>
      <rPr>
        <sz val="11"/>
        <color theme="1"/>
        <rFont val="Calibri"/>
        <family val="2"/>
        <scheme val="minor"/>
      </rPr>
      <t xml:space="preserve">
Completed: deck joined, gelcoat repair
Working on: stanchion, lifelines, deck hardware, electric, plumbing and timber fitout</t>
    </r>
  </si>
  <si>
    <r>
      <rPr>
        <b/>
        <sz val="11"/>
        <color theme="1"/>
        <rFont val="Calibri"/>
        <family val="2"/>
        <scheme val="minor"/>
      </rPr>
      <t>Boat is at FO.1 Stage - first 1270 galley up version</t>
    </r>
    <r>
      <rPr>
        <sz val="11"/>
        <color theme="1"/>
        <rFont val="Calibri"/>
        <family val="2"/>
        <scheme val="minor"/>
      </rPr>
      <t xml:space="preserve">
Completed: deck joined. 
Working on: deck hardware, electric, plumbing, timber fitout, </t>
    </r>
  </si>
  <si>
    <t xml:space="preserve">Boat is at Assembly 2. 
Preparation for deck joining. </t>
  </si>
  <si>
    <t>Star construction</t>
  </si>
  <si>
    <t>Local launched by 3rd week of May</t>
  </si>
  <si>
    <t>Planned to be launched by end of August (local launch schedule had been confirmed by the customers)</t>
  </si>
  <si>
    <t>Boat is completed, ready for local launch. Launch schedule had been confirmed by the customers (end of August 2026)</t>
  </si>
  <si>
    <t>Boat is completed, ready for local launch. Launch schedule had been confirmed by the customers (2nd week of August 2026)</t>
  </si>
  <si>
    <r>
      <t>Boat is currently at FO.3 stage</t>
    </r>
    <r>
      <rPr>
        <sz val="11"/>
        <rFont val="Calibri"/>
        <family val="2"/>
        <scheme val="minor"/>
      </rPr>
      <t xml:space="preserve">
</t>
    </r>
    <r>
      <rPr>
        <b/>
        <sz val="11"/>
        <rFont val="Calibri"/>
        <family val="2"/>
        <scheme val="minor"/>
      </rPr>
      <t xml:space="preserve">Comepleted on: </t>
    </r>
    <r>
      <rPr>
        <sz val="11"/>
        <rFont val="Calibri"/>
        <family val="2"/>
        <scheme val="minor"/>
      </rPr>
      <t xml:space="preserve">A-frame, stanchion, forward beam, windows and hatches. Trampoline, deck hardware. </t>
    </r>
    <r>
      <rPr>
        <b/>
        <sz val="11"/>
        <rFont val="Calibri"/>
        <family val="2"/>
        <scheme val="minor"/>
      </rPr>
      <t xml:space="preserve">
Work in progress: </t>
    </r>
    <r>
      <rPr>
        <sz val="11"/>
        <rFont val="Calibri"/>
        <family val="2"/>
        <scheme val="minor"/>
      </rPr>
      <t>electric 90%, plumbing 90%, timber fitout 90%</t>
    </r>
  </si>
  <si>
    <r>
      <t xml:space="preserve">Boat is currently at FO.2 stage
Completed: </t>
    </r>
    <r>
      <rPr>
        <sz val="11"/>
        <rFont val="Calibri"/>
        <family val="2"/>
        <scheme val="minor"/>
      </rPr>
      <t>engines in, stanchion, A-frame</t>
    </r>
    <r>
      <rPr>
        <b/>
        <sz val="11"/>
        <rFont val="Calibri"/>
        <family val="2"/>
        <scheme val="minor"/>
      </rPr>
      <t xml:space="preserve">
Working on: </t>
    </r>
    <r>
      <rPr>
        <sz val="11"/>
        <rFont val="Calibri"/>
        <family val="2"/>
        <scheme val="minor"/>
      </rPr>
      <t xml:space="preserve">deck hardware 85%, plumbing &amp; LPG 85%, electric 80%, steering system 80%, timber fitout 80%. </t>
    </r>
  </si>
  <si>
    <r>
      <t xml:space="preserve">Boat is currently at FO.1 stage
Completed: </t>
    </r>
    <r>
      <rPr>
        <sz val="11"/>
        <color theme="1"/>
        <rFont val="Calibri"/>
        <family val="2"/>
        <scheme val="minor"/>
      </rPr>
      <t xml:space="preserve">deck join, engines in, windows &amp; hatches, stanchion, lifelines. </t>
    </r>
    <r>
      <rPr>
        <b/>
        <sz val="11"/>
        <color theme="1"/>
        <rFont val="Calibri"/>
        <family val="2"/>
        <scheme val="minor"/>
      </rPr>
      <t xml:space="preserve">
Working on: </t>
    </r>
    <r>
      <rPr>
        <sz val="11"/>
        <color theme="1"/>
        <rFont val="Calibri"/>
        <family val="2"/>
        <scheme val="minor"/>
      </rPr>
      <t xml:space="preserve">deck hardware 75%, plumbing &amp; electric 25%, timber fitout 25%, steering system 25%. </t>
    </r>
  </si>
  <si>
    <r>
      <t xml:space="preserve">Boat is currently at ASS.4 stage
Completed: </t>
    </r>
    <r>
      <rPr>
        <sz val="11"/>
        <color theme="1"/>
        <rFont val="Calibri"/>
        <family val="2"/>
        <scheme val="minor"/>
      </rPr>
      <t xml:space="preserve">deck join, engines in
</t>
    </r>
    <r>
      <rPr>
        <b/>
        <sz val="11"/>
        <color theme="1"/>
        <rFont val="Calibri"/>
        <family val="2"/>
        <scheme val="minor"/>
      </rPr>
      <t xml:space="preserve">Working on: </t>
    </r>
    <r>
      <rPr>
        <sz val="11"/>
        <color theme="1"/>
        <rFont val="Calibri"/>
        <family val="2"/>
        <scheme val="minor"/>
      </rPr>
      <t>windows 50%, deckhardware 25%, electric &amp; plumbing at 25%</t>
    </r>
  </si>
  <si>
    <t>Boat is currently at ASS.3 stage</t>
  </si>
  <si>
    <t>David Cox</t>
  </si>
  <si>
    <t>Denison Yacht Sales</t>
  </si>
  <si>
    <t>Brad &amp; Lisa Fay</t>
  </si>
  <si>
    <t>1270-13</t>
  </si>
  <si>
    <t>1270-14</t>
  </si>
  <si>
    <t>1270-15</t>
  </si>
  <si>
    <t>1270-16</t>
  </si>
  <si>
    <t>Factory direct</t>
  </si>
  <si>
    <t>Boat SC#</t>
  </si>
  <si>
    <t>SC634 - 1370 Opt 2</t>
  </si>
  <si>
    <t>SC636 - Stefan Lecher</t>
  </si>
  <si>
    <t>SC637 - 1370</t>
  </si>
  <si>
    <t>SC625 - 1370 - draft</t>
  </si>
  <si>
    <t>SC743 - 1600</t>
  </si>
  <si>
    <t>SC742 - 1600</t>
  </si>
  <si>
    <t>SC770 - 1260 SCOTT HORTON</t>
  </si>
  <si>
    <t>SC771 - 1260 MORDUE</t>
  </si>
  <si>
    <t>SC776 - 1270</t>
  </si>
  <si>
    <t>SC784-1160XL</t>
  </si>
  <si>
    <t>SC650 - 1370 Hamish &amp; Shereen Jolly</t>
  </si>
  <si>
    <t>SC651 - 1370 Tom Unger &amp; Elan Katra</t>
  </si>
  <si>
    <t>SC625 - 1370 CHRIS KUBARA</t>
  </si>
  <si>
    <t>SC6252 - JASON &amp; CONNIE CHAN</t>
  </si>
  <si>
    <t>SC812 - DONNELLY</t>
  </si>
  <si>
    <t>SC789 - CRESSWELL</t>
  </si>
  <si>
    <t>SC655 - SIMON &amp; NICOLE CAMERON</t>
  </si>
  <si>
    <t>SC634 - 1370</t>
  </si>
  <si>
    <t xml:space="preserve">Launching/Rigging/Move to Bien Dong Port </t>
  </si>
  <si>
    <t>Commissioning at Bien Dong Port, dock based engine runs</t>
  </si>
  <si>
    <t xml:space="preserve">Factory Sea Trial Vung Tau, </t>
  </si>
  <si>
    <t>Spare day /rectifications</t>
  </si>
  <si>
    <t>Crew preparation &amp; Export paperwork from HCMC</t>
  </si>
  <si>
    <t>Sail to Patthaya, Phil and Crew</t>
  </si>
  <si>
    <t>Resting day</t>
  </si>
  <si>
    <t>Cleaning, boat prepararation</t>
  </si>
  <si>
    <t>Customer Day 1: Dock based tech handover</t>
  </si>
  <si>
    <t>Customer Day 2: Sea Trial - Sailing handover around Pattaya</t>
  </si>
  <si>
    <t>Load on the barge at SSY</t>
  </si>
  <si>
    <t xml:space="preserve">Handover date </t>
  </si>
  <si>
    <t xml:space="preserve">SC637 - 1370 - draft </t>
  </si>
  <si>
    <t>Spare day / rectification</t>
  </si>
  <si>
    <t>Detailing / fix day - Ocean Marina</t>
  </si>
  <si>
    <t>SC743 - completion date</t>
  </si>
  <si>
    <t>Launching / rigging at Bien Dong port</t>
  </si>
  <si>
    <t>Commissioning at Bien Dong port / Dock based engine run test</t>
  </si>
  <si>
    <t>Factory sea trials To Vung Tau</t>
  </si>
  <si>
    <t xml:space="preserve">Spare / rectification date </t>
  </si>
  <si>
    <t>SC770 - 1260 SCOTT HORTON (Customers confirmed)</t>
  </si>
  <si>
    <t xml:space="preserve">Standby </t>
  </si>
  <si>
    <t xml:space="preserve">SC770 completion date </t>
  </si>
  <si>
    <t>River trials - day 1</t>
  </si>
  <si>
    <t>River trials - day 2</t>
  </si>
  <si>
    <t>SC771 - 1260 MORDUE (customer confirmed)</t>
  </si>
  <si>
    <t>River trials - Bien Dong port</t>
  </si>
  <si>
    <t>Factory sea trials To Vung Tau - day 1</t>
  </si>
  <si>
    <t>SC776 completion date</t>
  </si>
  <si>
    <t>Standby</t>
  </si>
  <si>
    <t>Factory sea trials To Nha Trang - Day 1</t>
  </si>
  <si>
    <t>Factory sea trials To Nha Trang - Day 2</t>
  </si>
  <si>
    <t>Factory sea trials To Nha Trang - Day 3</t>
  </si>
  <si>
    <t>Factory sea trials To Nha Trang - Day 4 - Preparation (estimate)</t>
  </si>
  <si>
    <t>Factory sea trials To Nha Trang - Day 5 - Preparation (estimate)</t>
  </si>
  <si>
    <t>Factory sea trials To Nha Trang - Day 6 - Filming day (estimate)</t>
  </si>
  <si>
    <t>Factory sea trials To Nha Trang - Day 7 - Filming day (estimate)</t>
  </si>
  <si>
    <t>Factory sea trials To Nha Trang - Day 8</t>
  </si>
  <si>
    <t>Factory sea trials To Nha Trang - Day 9</t>
  </si>
  <si>
    <t>Factory sea trials To Nha Trang - Day 10</t>
  </si>
  <si>
    <t>SC784-1160XL - GARRY BAYLEY</t>
  </si>
  <si>
    <t>Prepare for shipping</t>
  </si>
  <si>
    <t>Ready for shipping to ABS - US</t>
  </si>
  <si>
    <t>SC650 - 1370 Hamish &amp; Shereen Jolly (Customer confirmed)</t>
  </si>
  <si>
    <t>SC650 completion date</t>
  </si>
  <si>
    <t>SC651 - 1370 Tom Unger &amp; Elan Katra (Customers confirmed)</t>
  </si>
  <si>
    <t>x</t>
  </si>
  <si>
    <t>SC625 - 1370 CHRIS KUBARA (Customers confirmed)</t>
  </si>
  <si>
    <t>SC6252 - JASON &amp; CONNIE CHAN (Customers confirmed)</t>
  </si>
  <si>
    <t>Shipped by middle of April 2026</t>
  </si>
  <si>
    <t>Shipped by middle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</si>
</sst>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[$-409]d\-mmm\-yy;@"/>
    <numFmt numFmtId="167" formatCode="dd"/>
    <numFmt numFmtId="168" formatCode="[$-C09]dd\-mmm\-yy;@"/>
    <numFmt numFmtId="169" formatCode="[$-409]d/mmm/yy;@"/>
    <numFmt numFmtId="170" formatCode="_(* #,##0_);_(* \(#,##0\);_(* &quot;-&quot;??_);_(@_)"/>
    <numFmt numFmtId="171" formatCode="_-* #,##0_-;\-* #,##0_-;_-* &quot;-&quot;??_-;_-@_-"/>
    <numFmt numFmtId="172" formatCode="_-&quot;$&quot;* #,##0_-;\-&quot;$&quot;* #,##0_-;_-&quot;$&quot;* &quot;-&quot;??_-;_-@_-"/>
    <numFmt numFmtId="173" formatCode="&quot;$&quot;#,##0_);[Red]\(&quot;$&quot;#,##0\)"/>
    <numFmt numFmtId="174" formatCode="[$-F800]dddd\,\ mmmm\ dd\,\ yyyy"/>
  </numFmts>
  <fonts count="5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3" tint="-0.249977111117893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8" tint="-0.499984740745262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theme="3" tint="0.249977111117893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 (Body)"/>
    </font>
    <font>
      <sz val="11"/>
      <color theme="1"/>
      <name val="Calibri (Body)"/>
    </font>
    <font>
      <sz val="11"/>
      <color rgb="FF000000"/>
      <name val="Calibri (Body)"/>
    </font>
    <font>
      <sz val="11"/>
      <color rgb="FFFF0000"/>
      <name val="Calibri (Body)"/>
    </font>
    <font>
      <sz val="11"/>
      <name val="Calibri (Body)"/>
    </font>
    <font>
      <b/>
      <sz val="11"/>
      <color rgb="FFEA0000"/>
      <name val="Calibri"/>
      <family val="2"/>
      <scheme val="minor"/>
    </font>
    <font>
      <b/>
      <sz val="11"/>
      <color rgb="FF4ABB05"/>
      <name val="Calibri"/>
      <family val="2"/>
      <scheme val="minor"/>
    </font>
    <font>
      <sz val="11"/>
      <color rgb="FF4ABB05"/>
      <name val="Calibri"/>
      <family val="2"/>
      <scheme val="minor"/>
    </font>
    <font>
      <b/>
      <sz val="11"/>
      <color rgb="FFFF0000"/>
      <name val="Calibri"/>
      <family val="2"/>
    </font>
    <font>
      <sz val="11"/>
      <color rgb="FFFFFFFF"/>
      <name val="Calibri"/>
      <family val="2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sz val="11"/>
      <color rgb="FF000000"/>
      <name val="Docs-Calibri"/>
    </font>
    <font>
      <b/>
      <sz val="11"/>
      <color theme="0" tint="-0.249977111117893"/>
      <name val="Calibri"/>
      <family val="2"/>
    </font>
    <font>
      <b/>
      <sz val="11"/>
      <color rgb="FF00B05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rgb="FF000000"/>
      <name val="Tahoma"/>
      <family val="2"/>
    </font>
  </fonts>
  <fills count="6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C5BE97"/>
        <bgColor indexed="64"/>
      </patternFill>
    </fill>
    <fill>
      <patternFill patternType="solid">
        <fgColor rgb="FFF2DDDC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D63D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7DD9E3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AEE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00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E69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8">
    <xf numFmtId="0" fontId="0" fillId="0" borderId="0"/>
    <xf numFmtId="0" fontId="5" fillId="0" borderId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21">
    <xf numFmtId="0" fontId="0" fillId="0" borderId="0" xfId="0"/>
    <xf numFmtId="0" fontId="2" fillId="2" borderId="3" xfId="0" applyFont="1" applyFill="1" applyBorder="1" applyAlignment="1">
      <alignment vertical="center"/>
    </xf>
    <xf numFmtId="0" fontId="10" fillId="6" borderId="3" xfId="0" applyFont="1" applyFill="1" applyBorder="1" applyAlignment="1">
      <alignment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10" fillId="5" borderId="5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8" fillId="0" borderId="3" xfId="0" applyFont="1" applyBorder="1" applyAlignment="1">
      <alignment vertical="center"/>
    </xf>
    <xf numFmtId="0" fontId="18" fillId="36" borderId="3" xfId="0" applyFont="1" applyFill="1" applyBorder="1" applyAlignment="1">
      <alignment vertical="center"/>
    </xf>
    <xf numFmtId="0" fontId="18" fillId="35" borderId="3" xfId="0" applyFont="1" applyFill="1" applyBorder="1" applyAlignment="1">
      <alignment vertical="center"/>
    </xf>
    <xf numFmtId="0" fontId="18" fillId="33" borderId="3" xfId="0" applyFont="1" applyFill="1" applyBorder="1" applyAlignment="1">
      <alignment vertical="center"/>
    </xf>
    <xf numFmtId="0" fontId="15" fillId="34" borderId="3" xfId="0" applyFont="1" applyFill="1" applyBorder="1" applyAlignment="1">
      <alignment horizontal="left" vertical="center" textRotation="180"/>
    </xf>
    <xf numFmtId="0" fontId="9" fillId="6" borderId="3" xfId="0" applyFont="1" applyFill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23" borderId="1" xfId="0" applyFont="1" applyFill="1" applyBorder="1" applyAlignment="1">
      <alignment vertical="center"/>
    </xf>
    <xf numFmtId="0" fontId="10" fillId="39" borderId="3" xfId="0" applyFont="1" applyFill="1" applyBorder="1" applyAlignment="1">
      <alignment vertical="center"/>
    </xf>
    <xf numFmtId="0" fontId="10" fillId="5" borderId="9" xfId="0" applyFont="1" applyFill="1" applyBorder="1" applyAlignment="1">
      <alignment vertical="center"/>
    </xf>
    <xf numFmtId="0" fontId="9" fillId="7" borderId="3" xfId="0" applyFont="1" applyFill="1" applyBorder="1" applyAlignment="1">
      <alignment vertical="center" textRotation="180"/>
    </xf>
    <xf numFmtId="0" fontId="10" fillId="5" borderId="1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47" borderId="3" xfId="0" applyFont="1" applyFill="1" applyBorder="1" applyAlignment="1">
      <alignment vertical="center"/>
    </xf>
    <xf numFmtId="0" fontId="10" fillId="47" borderId="3" xfId="0" applyFont="1" applyFill="1" applyBorder="1" applyAlignment="1">
      <alignment horizontal="center" vertical="center"/>
    </xf>
    <xf numFmtId="168" fontId="6" fillId="0" borderId="3" xfId="0" applyNumberFormat="1" applyFont="1" applyBorder="1" applyAlignment="1">
      <alignment horizontal="center" vertical="center"/>
    </xf>
    <xf numFmtId="15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68" fontId="6" fillId="48" borderId="3" xfId="0" applyNumberFormat="1" applyFont="1" applyFill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168" fontId="6" fillId="6" borderId="3" xfId="0" applyNumberFormat="1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vertical="center"/>
    </xf>
    <xf numFmtId="0" fontId="11" fillId="42" borderId="5" xfId="0" applyFont="1" applyFill="1" applyBorder="1" applyAlignment="1">
      <alignment horizontal="center" vertical="center"/>
    </xf>
    <xf numFmtId="15" fontId="11" fillId="6" borderId="3" xfId="0" applyNumberFormat="1" applyFont="1" applyFill="1" applyBorder="1" applyAlignment="1">
      <alignment horizontal="center" vertical="center"/>
    </xf>
    <xf numFmtId="15" fontId="11" fillId="6" borderId="6" xfId="0" applyNumberFormat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15" fontId="6" fillId="6" borderId="3" xfId="0" applyNumberFormat="1" applyFont="1" applyFill="1" applyBorder="1" applyAlignment="1">
      <alignment horizontal="center" vertical="center"/>
    </xf>
    <xf numFmtId="15" fontId="22" fillId="6" borderId="5" xfId="0" applyNumberFormat="1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15" fontId="11" fillId="6" borderId="5" xfId="0" applyNumberFormat="1" applyFont="1" applyFill="1" applyBorder="1" applyAlignment="1">
      <alignment horizontal="center" vertical="center"/>
    </xf>
    <xf numFmtId="15" fontId="11" fillId="23" borderId="5" xfId="0" applyNumberFormat="1" applyFont="1" applyFill="1" applyBorder="1" applyAlignment="1">
      <alignment horizontal="center" vertical="center"/>
    </xf>
    <xf numFmtId="15" fontId="22" fillId="23" borderId="5" xfId="0" applyNumberFormat="1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15" fontId="11" fillId="6" borderId="5" xfId="0" applyNumberFormat="1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166" fontId="16" fillId="14" borderId="3" xfId="0" applyNumberFormat="1" applyFont="1" applyFill="1" applyBorder="1" applyAlignment="1">
      <alignment horizontal="center" vertical="center"/>
    </xf>
    <xf numFmtId="166" fontId="16" fillId="6" borderId="3" xfId="0" applyNumberFormat="1" applyFont="1" applyFill="1" applyBorder="1" applyAlignment="1">
      <alignment horizontal="center" vertical="center"/>
    </xf>
    <xf numFmtId="168" fontId="25" fillId="6" borderId="3" xfId="0" applyNumberFormat="1" applyFont="1" applyFill="1" applyBorder="1" applyAlignment="1">
      <alignment horizontal="center" vertical="center"/>
    </xf>
    <xf numFmtId="166" fontId="16" fillId="47" borderId="14" xfId="0" applyNumberFormat="1" applyFont="1" applyFill="1" applyBorder="1" applyAlignment="1">
      <alignment horizontal="center" vertical="center"/>
    </xf>
    <xf numFmtId="168" fontId="22" fillId="47" borderId="14" xfId="0" applyNumberFormat="1" applyFont="1" applyFill="1" applyBorder="1" applyAlignment="1">
      <alignment horizontal="center" vertical="center"/>
    </xf>
    <xf numFmtId="168" fontId="22" fillId="6" borderId="2" xfId="0" applyNumberFormat="1" applyFont="1" applyFill="1" applyBorder="1" applyAlignment="1">
      <alignment horizontal="center" vertical="center"/>
    </xf>
    <xf numFmtId="166" fontId="16" fillId="13" borderId="3" xfId="0" applyNumberFormat="1" applyFont="1" applyFill="1" applyBorder="1" applyAlignment="1">
      <alignment horizontal="center" vertical="center"/>
    </xf>
    <xf numFmtId="169" fontId="22" fillId="6" borderId="3" xfId="0" applyNumberFormat="1" applyFont="1" applyFill="1" applyBorder="1" applyAlignment="1">
      <alignment horizontal="center" vertical="center"/>
    </xf>
    <xf numFmtId="168" fontId="11" fillId="13" borderId="8" xfId="0" applyNumberFormat="1" applyFont="1" applyFill="1" applyBorder="1" applyAlignment="1">
      <alignment horizontal="center" vertical="center"/>
    </xf>
    <xf numFmtId="168" fontId="13" fillId="37" borderId="8" xfId="0" applyNumberFormat="1" applyFont="1" applyFill="1" applyBorder="1" applyAlignment="1">
      <alignment horizontal="center" vertical="center"/>
    </xf>
    <xf numFmtId="168" fontId="13" fillId="48" borderId="8" xfId="0" applyNumberFormat="1" applyFont="1" applyFill="1" applyBorder="1" applyAlignment="1">
      <alignment horizontal="center" vertical="center"/>
    </xf>
    <xf numFmtId="168" fontId="13" fillId="48" borderId="8" xfId="0" applyNumberFormat="1" applyFont="1" applyFill="1" applyBorder="1" applyAlignment="1">
      <alignment horizontal="center" vertical="center" wrapText="1"/>
    </xf>
    <xf numFmtId="168" fontId="9" fillId="6" borderId="3" xfId="0" applyNumberFormat="1" applyFont="1" applyFill="1" applyBorder="1" applyAlignment="1">
      <alignment horizontal="center" vertical="center"/>
    </xf>
    <xf numFmtId="15" fontId="11" fillId="13" borderId="3" xfId="0" applyNumberFormat="1" applyFont="1" applyFill="1" applyBorder="1" applyAlignment="1">
      <alignment horizontal="center" vertical="center"/>
    </xf>
    <xf numFmtId="168" fontId="6" fillId="18" borderId="3" xfId="0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47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25" borderId="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 textRotation="180"/>
    </xf>
    <xf numFmtId="15" fontId="9" fillId="6" borderId="3" xfId="0" applyNumberFormat="1" applyFont="1" applyFill="1" applyBorder="1" applyAlignment="1">
      <alignment horizontal="center" vertical="center"/>
    </xf>
    <xf numFmtId="15" fontId="18" fillId="6" borderId="3" xfId="0" applyNumberFormat="1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15" fontId="18" fillId="0" borderId="3" xfId="0" applyNumberFormat="1" applyFont="1" applyBorder="1" applyAlignment="1">
      <alignment horizontal="center" vertical="center"/>
    </xf>
    <xf numFmtId="168" fontId="6" fillId="0" borderId="3" xfId="0" applyNumberFormat="1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textRotation="90"/>
    </xf>
    <xf numFmtId="0" fontId="15" fillId="0" borderId="3" xfId="0" applyFont="1" applyBorder="1" applyAlignment="1">
      <alignment horizontal="left" vertical="center" textRotation="180"/>
    </xf>
    <xf numFmtId="169" fontId="22" fillId="6" borderId="8" xfId="0" applyNumberFormat="1" applyFont="1" applyFill="1" applyBorder="1" applyAlignment="1">
      <alignment horizontal="center" vertical="center"/>
    </xf>
    <xf numFmtId="169" fontId="22" fillId="6" borderId="7" xfId="0" applyNumberFormat="1" applyFont="1" applyFill="1" applyBorder="1" applyAlignment="1">
      <alignment horizontal="center" vertical="center"/>
    </xf>
    <xf numFmtId="15" fontId="22" fillId="6" borderId="6" xfId="0" applyNumberFormat="1" applyFont="1" applyFill="1" applyBorder="1" applyAlignment="1">
      <alignment horizontal="center" vertical="center"/>
    </xf>
    <xf numFmtId="15" fontId="22" fillId="6" borderId="4" xfId="0" applyNumberFormat="1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0" fillId="5" borderId="4" xfId="0" applyFont="1" applyFill="1" applyBorder="1" applyAlignment="1">
      <alignment vertical="center"/>
    </xf>
    <xf numFmtId="0" fontId="28" fillId="20" borderId="3" xfId="0" applyFont="1" applyFill="1" applyBorder="1" applyAlignment="1">
      <alignment vertical="center" textRotation="180"/>
    </xf>
    <xf numFmtId="0" fontId="28" fillId="24" borderId="3" xfId="0" applyFont="1" applyFill="1" applyBorder="1" applyAlignment="1">
      <alignment vertical="center" textRotation="180"/>
    </xf>
    <xf numFmtId="0" fontId="6" fillId="31" borderId="3" xfId="0" applyFont="1" applyFill="1" applyBorder="1" applyAlignment="1">
      <alignment vertical="center"/>
    </xf>
    <xf numFmtId="0" fontId="9" fillId="51" borderId="3" xfId="0" applyFont="1" applyFill="1" applyBorder="1" applyAlignment="1">
      <alignment horizontal="center" vertical="center"/>
    </xf>
    <xf numFmtId="168" fontId="6" fillId="51" borderId="3" xfId="0" applyNumberFormat="1" applyFont="1" applyFill="1" applyBorder="1" applyAlignment="1">
      <alignment horizontal="center" vertical="center"/>
    </xf>
    <xf numFmtId="168" fontId="6" fillId="51" borderId="3" xfId="0" applyNumberFormat="1" applyFont="1" applyFill="1" applyBorder="1" applyAlignment="1">
      <alignment horizontal="center" vertical="center" wrapText="1"/>
    </xf>
    <xf numFmtId="0" fontId="18" fillId="51" borderId="3" xfId="0" applyFont="1" applyFill="1" applyBorder="1" applyAlignment="1">
      <alignment vertical="center"/>
    </xf>
    <xf numFmtId="0" fontId="15" fillId="51" borderId="3" xfId="0" applyFont="1" applyFill="1" applyBorder="1" applyAlignment="1">
      <alignment horizontal="left" vertical="center" textRotation="180"/>
    </xf>
    <xf numFmtId="0" fontId="10" fillId="51" borderId="3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9" fillId="24" borderId="3" xfId="0" applyFont="1" applyFill="1" applyBorder="1" applyAlignment="1">
      <alignment horizontal="center" vertical="center"/>
    </xf>
    <xf numFmtId="0" fontId="18" fillId="6" borderId="8" xfId="0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2" fillId="46" borderId="3" xfId="0" applyFont="1" applyFill="1" applyBorder="1" applyAlignment="1">
      <alignment vertical="center" wrapText="1"/>
    </xf>
    <xf numFmtId="0" fontId="18" fillId="31" borderId="3" xfId="0" applyFont="1" applyFill="1" applyBorder="1" applyAlignment="1">
      <alignment vertical="center"/>
    </xf>
    <xf numFmtId="0" fontId="16" fillId="6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/>
    </xf>
    <xf numFmtId="168" fontId="6" fillId="15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6" borderId="3" xfId="0" applyFont="1" applyFill="1" applyBorder="1" applyAlignment="1">
      <alignment vertical="center"/>
    </xf>
    <xf numFmtId="0" fontId="6" fillId="36" borderId="3" xfId="0" applyFont="1" applyFill="1" applyBorder="1" applyAlignment="1">
      <alignment vertical="center"/>
    </xf>
    <xf numFmtId="0" fontId="6" fillId="18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 textRotation="180"/>
    </xf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49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0" fontId="6" fillId="4" borderId="3" xfId="0" applyFont="1" applyFill="1" applyBorder="1" applyAlignment="1">
      <alignment vertical="center" wrapText="1"/>
    </xf>
    <xf numFmtId="0" fontId="6" fillId="46" borderId="3" xfId="0" applyFont="1" applyFill="1" applyBorder="1" applyAlignment="1">
      <alignment vertical="center"/>
    </xf>
    <xf numFmtId="0" fontId="8" fillId="46" borderId="3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vertical="center"/>
    </xf>
    <xf numFmtId="15" fontId="30" fillId="6" borderId="3" xfId="0" applyNumberFormat="1" applyFont="1" applyFill="1" applyBorder="1" applyAlignment="1">
      <alignment horizontal="center" vertical="center"/>
    </xf>
    <xf numFmtId="15" fontId="30" fillId="6" borderId="5" xfId="0" applyNumberFormat="1" applyFont="1" applyFill="1" applyBorder="1" applyAlignment="1">
      <alignment horizontal="center" vertical="center"/>
    </xf>
    <xf numFmtId="15" fontId="30" fillId="23" borderId="5" xfId="0" applyNumberFormat="1" applyFont="1" applyFill="1" applyBorder="1" applyAlignment="1">
      <alignment horizontal="center" vertical="center"/>
    </xf>
    <xf numFmtId="0" fontId="30" fillId="6" borderId="5" xfId="0" applyFont="1" applyFill="1" applyBorder="1" applyAlignment="1">
      <alignment horizontal="center" vertical="center"/>
    </xf>
    <xf numFmtId="15" fontId="30" fillId="6" borderId="5" xfId="0" applyNumberFormat="1" applyFont="1" applyFill="1" applyBorder="1" applyAlignment="1">
      <alignment horizontal="center" vertical="center" wrapText="1"/>
    </xf>
    <xf numFmtId="166" fontId="6" fillId="14" borderId="3" xfId="0" applyNumberFormat="1" applyFont="1" applyFill="1" applyBorder="1" applyAlignment="1">
      <alignment horizontal="center" vertical="center"/>
    </xf>
    <xf numFmtId="166" fontId="6" fillId="6" borderId="3" xfId="0" applyNumberFormat="1" applyFont="1" applyFill="1" applyBorder="1" applyAlignment="1">
      <alignment horizontal="center" vertical="center"/>
    </xf>
    <xf numFmtId="15" fontId="6" fillId="6" borderId="0" xfId="0" applyNumberFormat="1" applyFont="1" applyFill="1" applyAlignment="1">
      <alignment horizontal="center" vertical="center"/>
    </xf>
    <xf numFmtId="166" fontId="6" fillId="47" borderId="13" xfId="0" applyNumberFormat="1" applyFont="1" applyFill="1" applyBorder="1" applyAlignment="1">
      <alignment horizontal="center" vertical="center"/>
    </xf>
    <xf numFmtId="166" fontId="6" fillId="13" borderId="2" xfId="0" applyNumberFormat="1" applyFont="1" applyFill="1" applyBorder="1" applyAlignment="1">
      <alignment horizontal="center" vertical="center"/>
    </xf>
    <xf numFmtId="166" fontId="6" fillId="13" borderId="3" xfId="0" applyNumberFormat="1" applyFont="1" applyFill="1" applyBorder="1" applyAlignment="1">
      <alignment horizontal="center" vertical="center"/>
    </xf>
    <xf numFmtId="168" fontId="30" fillId="13" borderId="8" xfId="0" applyNumberFormat="1" applyFont="1" applyFill="1" applyBorder="1" applyAlignment="1">
      <alignment horizontal="center" vertical="center"/>
    </xf>
    <xf numFmtId="168" fontId="30" fillId="37" borderId="8" xfId="0" applyNumberFormat="1" applyFont="1" applyFill="1" applyBorder="1" applyAlignment="1">
      <alignment horizontal="center" vertical="center"/>
    </xf>
    <xf numFmtId="168" fontId="30" fillId="6" borderId="8" xfId="0" applyNumberFormat="1" applyFont="1" applyFill="1" applyBorder="1" applyAlignment="1">
      <alignment horizontal="center" vertical="center"/>
    </xf>
    <xf numFmtId="168" fontId="30" fillId="6" borderId="8" xfId="0" applyNumberFormat="1" applyFont="1" applyFill="1" applyBorder="1" applyAlignment="1">
      <alignment horizontal="center" vertical="center" wrapText="1"/>
    </xf>
    <xf numFmtId="168" fontId="30" fillId="6" borderId="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5" fontId="6" fillId="0" borderId="3" xfId="0" applyNumberFormat="1" applyFont="1" applyBorder="1" applyAlignment="1">
      <alignment horizontal="center" vertical="center"/>
    </xf>
    <xf numFmtId="15" fontId="30" fillId="13" borderId="3" xfId="0" applyNumberFormat="1" applyFont="1" applyFill="1" applyBorder="1" applyAlignment="1">
      <alignment horizontal="center" vertical="center"/>
    </xf>
    <xf numFmtId="15" fontId="6" fillId="13" borderId="3" xfId="0" applyNumberFormat="1" applyFont="1" applyFill="1" applyBorder="1" applyAlignment="1">
      <alignment horizontal="center" vertical="center"/>
    </xf>
    <xf numFmtId="15" fontId="30" fillId="51" borderId="3" xfId="0" applyNumberFormat="1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3" fillId="38" borderId="3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  <xf numFmtId="0" fontId="13" fillId="42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24" fillId="6" borderId="3" xfId="0" applyFont="1" applyFill="1" applyBorder="1" applyAlignment="1">
      <alignment horizontal="center" vertical="center" wrapText="1"/>
    </xf>
    <xf numFmtId="0" fontId="24" fillId="51" borderId="3" xfId="0" applyFont="1" applyFill="1" applyBorder="1" applyAlignment="1">
      <alignment horizontal="center" vertical="center" wrapText="1"/>
    </xf>
    <xf numFmtId="0" fontId="29" fillId="6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/>
    </xf>
    <xf numFmtId="0" fontId="12" fillId="6" borderId="5" xfId="0" applyFont="1" applyFill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2" fillId="6" borderId="3" xfId="0" applyFont="1" applyFill="1" applyBorder="1" applyAlignment="1">
      <alignment horizontal="left" vertical="center"/>
    </xf>
    <xf numFmtId="0" fontId="12" fillId="47" borderId="3" xfId="0" applyFont="1" applyFill="1" applyBorder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168" fontId="30" fillId="6" borderId="9" xfId="0" applyNumberFormat="1" applyFont="1" applyFill="1" applyBorder="1" applyAlignment="1">
      <alignment horizontal="center" vertical="center"/>
    </xf>
    <xf numFmtId="168" fontId="13" fillId="48" borderId="9" xfId="0" applyNumberFormat="1" applyFont="1" applyFill="1" applyBorder="1" applyAlignment="1">
      <alignment horizontal="center" vertical="center"/>
    </xf>
    <xf numFmtId="168" fontId="13" fillId="48" borderId="3" xfId="0" applyNumberFormat="1" applyFont="1" applyFill="1" applyBorder="1" applyAlignment="1">
      <alignment horizontal="center" vertical="center"/>
    </xf>
    <xf numFmtId="171" fontId="0" fillId="0" borderId="0" xfId="5" applyNumberFormat="1" applyFont="1"/>
    <xf numFmtId="14" fontId="0" fillId="0" borderId="0" xfId="0" applyNumberFormat="1"/>
    <xf numFmtId="0" fontId="0" fillId="2" borderId="0" xfId="0" applyFill="1"/>
    <xf numFmtId="0" fontId="0" fillId="50" borderId="0" xfId="0" applyFill="1"/>
    <xf numFmtId="3" fontId="0" fillId="0" borderId="0" xfId="0" applyNumberFormat="1"/>
    <xf numFmtId="0" fontId="32" fillId="0" borderId="0" xfId="0" applyFont="1"/>
    <xf numFmtId="0" fontId="32" fillId="2" borderId="0" xfId="0" applyFont="1" applyFill="1"/>
    <xf numFmtId="0" fontId="0" fillId="0" borderId="0" xfId="0" applyAlignment="1">
      <alignment horizontal="right"/>
    </xf>
    <xf numFmtId="172" fontId="0" fillId="0" borderId="0" xfId="4" applyNumberFormat="1" applyFont="1"/>
    <xf numFmtId="0" fontId="6" fillId="0" borderId="0" xfId="0" applyFont="1"/>
    <xf numFmtId="168" fontId="0" fillId="0" borderId="0" xfId="0" applyNumberFormat="1"/>
    <xf numFmtId="172" fontId="0" fillId="2" borderId="0" xfId="4" applyNumberFormat="1" applyFont="1" applyFill="1"/>
    <xf numFmtId="14" fontId="0" fillId="2" borderId="0" xfId="0" applyNumberFormat="1" applyFill="1"/>
    <xf numFmtId="17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73" fontId="0" fillId="0" borderId="0" xfId="0" applyNumberFormat="1" applyAlignment="1">
      <alignment wrapText="1"/>
    </xf>
    <xf numFmtId="172" fontId="0" fillId="0" borderId="0" xfId="6" applyNumberFormat="1" applyFont="1"/>
    <xf numFmtId="172" fontId="0" fillId="0" borderId="0" xfId="7" applyNumberFormat="1" applyFont="1"/>
    <xf numFmtId="168" fontId="0" fillId="2" borderId="0" xfId="0" applyNumberFormat="1" applyFill="1"/>
    <xf numFmtId="0" fontId="6" fillId="9" borderId="0" xfId="0" applyFont="1" applyFill="1"/>
    <xf numFmtId="172" fontId="0" fillId="0" borderId="0" xfId="4" applyNumberFormat="1" applyFont="1" applyFill="1"/>
    <xf numFmtId="0" fontId="33" fillId="0" borderId="0" xfId="0" applyFont="1"/>
    <xf numFmtId="166" fontId="0" fillId="0" borderId="0" xfId="0" applyNumberFormat="1"/>
    <xf numFmtId="166" fontId="0" fillId="0" borderId="0" xfId="0" applyNumberFormat="1" applyAlignment="1">
      <alignment horizontal="right"/>
    </xf>
    <xf numFmtId="0" fontId="0" fillId="0" borderId="0" xfId="6" applyNumberFormat="1" applyFont="1"/>
    <xf numFmtId="1" fontId="0" fillId="0" borderId="0" xfId="0" applyNumberFormat="1"/>
    <xf numFmtId="0" fontId="0" fillId="0" borderId="0" xfId="6" applyNumberFormat="1" applyFont="1" applyAlignment="1">
      <alignment wrapText="1"/>
    </xf>
    <xf numFmtId="14" fontId="0" fillId="2" borderId="0" xfId="0" applyNumberFormat="1" applyFill="1" applyAlignment="1">
      <alignment horizontal="right"/>
    </xf>
    <xf numFmtId="0" fontId="10" fillId="3" borderId="3" xfId="0" applyFont="1" applyFill="1" applyBorder="1" applyAlignment="1">
      <alignment vertical="center"/>
    </xf>
    <xf numFmtId="0" fontId="10" fillId="47" borderId="8" xfId="0" applyFont="1" applyFill="1" applyBorder="1" applyAlignment="1">
      <alignment horizontal="center" vertical="center"/>
    </xf>
    <xf numFmtId="15" fontId="10" fillId="5" borderId="3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10" fillId="47" borderId="4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47" borderId="3" xfId="0" applyFont="1" applyFill="1" applyBorder="1" applyAlignment="1">
      <alignment horizontal="center" vertical="center"/>
    </xf>
    <xf numFmtId="170" fontId="0" fillId="23" borderId="5" xfId="2" applyNumberFormat="1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66" fontId="3" fillId="6" borderId="3" xfId="0" applyNumberFormat="1" applyFont="1" applyFill="1" applyBorder="1" applyAlignment="1">
      <alignment horizontal="center" vertical="center"/>
    </xf>
    <xf numFmtId="166" fontId="2" fillId="6" borderId="3" xfId="0" applyNumberFormat="1" applyFont="1" applyFill="1" applyBorder="1" applyAlignment="1">
      <alignment horizontal="center" vertical="center"/>
    </xf>
    <xf numFmtId="0" fontId="9" fillId="51" borderId="3" xfId="0" applyFont="1" applyFill="1" applyBorder="1" applyAlignment="1">
      <alignment horizontal="center" vertical="center" wrapText="1"/>
    </xf>
    <xf numFmtId="0" fontId="11" fillId="13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left" vertical="center"/>
    </xf>
    <xf numFmtId="0" fontId="6" fillId="13" borderId="0" xfId="0" applyFont="1" applyFill="1" applyAlignment="1">
      <alignment horizontal="center" vertical="center"/>
    </xf>
    <xf numFmtId="0" fontId="9" fillId="13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/>
    </xf>
    <xf numFmtId="0" fontId="2" fillId="13" borderId="0" xfId="0" applyFont="1" applyFill="1" applyAlignment="1">
      <alignment vertical="center"/>
    </xf>
    <xf numFmtId="0" fontId="2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/>
    </xf>
    <xf numFmtId="0" fontId="35" fillId="6" borderId="9" xfId="0" applyFont="1" applyFill="1" applyBorder="1" applyAlignment="1">
      <alignment horizontal="center" vertical="center" wrapText="1"/>
    </xf>
    <xf numFmtId="0" fontId="35" fillId="6" borderId="5" xfId="0" applyFont="1" applyFill="1" applyBorder="1" applyAlignment="1">
      <alignment horizontal="center" vertical="center" wrapText="1"/>
    </xf>
    <xf numFmtId="0" fontId="35" fillId="23" borderId="9" xfId="0" applyFont="1" applyFill="1" applyBorder="1" applyAlignment="1">
      <alignment horizontal="center" vertical="center" wrapText="1"/>
    </xf>
    <xf numFmtId="0" fontId="35" fillId="6" borderId="3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5" fillId="13" borderId="0" xfId="0" applyFont="1" applyFill="1" applyAlignment="1">
      <alignment horizontal="center" vertical="center"/>
    </xf>
    <xf numFmtId="0" fontId="35" fillId="47" borderId="13" xfId="0" applyFont="1" applyFill="1" applyBorder="1" applyAlignment="1">
      <alignment horizontal="center" vertical="center" wrapText="1"/>
    </xf>
    <xf numFmtId="0" fontId="35" fillId="6" borderId="2" xfId="0" applyFont="1" applyFill="1" applyBorder="1" applyAlignment="1">
      <alignment horizontal="center" vertical="center" wrapText="1"/>
    </xf>
    <xf numFmtId="0" fontId="35" fillId="13" borderId="0" xfId="0" applyFont="1" applyFill="1" applyAlignment="1">
      <alignment horizontal="center" vertical="center" wrapText="1"/>
    </xf>
    <xf numFmtId="0" fontId="35" fillId="25" borderId="3" xfId="0" applyFont="1" applyFill="1" applyBorder="1" applyAlignment="1">
      <alignment horizontal="center" vertical="center" wrapText="1"/>
    </xf>
    <xf numFmtId="0" fontId="36" fillId="25" borderId="3" xfId="0" applyFont="1" applyFill="1" applyBorder="1" applyAlignment="1">
      <alignment horizontal="center" vertical="center" wrapText="1"/>
    </xf>
    <xf numFmtId="0" fontId="36" fillId="6" borderId="3" xfId="0" applyFont="1" applyFill="1" applyBorder="1" applyAlignment="1">
      <alignment horizontal="center" vertical="center" wrapText="1"/>
    </xf>
    <xf numFmtId="0" fontId="35" fillId="6" borderId="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37" fillId="13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center" vertical="center"/>
    </xf>
    <xf numFmtId="0" fontId="35" fillId="51" borderId="3" xfId="0" applyFont="1" applyFill="1" applyBorder="1" applyAlignment="1">
      <alignment horizontal="center" vertical="center" wrapText="1"/>
    </xf>
    <xf numFmtId="0" fontId="38" fillId="6" borderId="3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vertical="center" wrapText="1"/>
    </xf>
    <xf numFmtId="0" fontId="16" fillId="6" borderId="5" xfId="0" applyFont="1" applyFill="1" applyBorder="1" applyAlignment="1">
      <alignment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2" fillId="6" borderId="5" xfId="0" applyFont="1" applyFill="1" applyBorder="1" applyAlignment="1">
      <alignment horizontal="left" vertical="center" wrapText="1"/>
    </xf>
    <xf numFmtId="15" fontId="2" fillId="6" borderId="3" xfId="0" applyNumberFormat="1" applyFont="1" applyFill="1" applyBorder="1" applyAlignment="1">
      <alignment vertical="center" wrapText="1"/>
    </xf>
    <xf numFmtId="15" fontId="3" fillId="13" borderId="0" xfId="0" applyNumberFormat="1" applyFont="1" applyFill="1" applyAlignment="1">
      <alignment horizontal="center" vertical="center" wrapText="1"/>
    </xf>
    <xf numFmtId="0" fontId="40" fillId="6" borderId="3" xfId="2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 wrapText="1"/>
    </xf>
    <xf numFmtId="0" fontId="6" fillId="6" borderId="3" xfId="2" applyNumberFormat="1" applyFont="1" applyFill="1" applyBorder="1" applyAlignment="1">
      <alignment horizontal="left" vertical="center" wrapText="1"/>
    </xf>
    <xf numFmtId="0" fontId="0" fillId="6" borderId="3" xfId="2" applyNumberFormat="1" applyFont="1" applyFill="1" applyBorder="1" applyAlignment="1">
      <alignment horizontal="left" vertical="center" wrapText="1"/>
    </xf>
    <xf numFmtId="0" fontId="40" fillId="47" borderId="8" xfId="2" applyNumberFormat="1" applyFont="1" applyFill="1" applyBorder="1" applyAlignment="1">
      <alignment horizontal="center" vertical="center"/>
    </xf>
    <xf numFmtId="0" fontId="0" fillId="6" borderId="3" xfId="2" applyNumberFormat="1" applyFont="1" applyFill="1" applyBorder="1" applyAlignment="1">
      <alignment horizontal="center" vertical="center" wrapText="1"/>
    </xf>
    <xf numFmtId="0" fontId="40" fillId="6" borderId="5" xfId="2" applyNumberFormat="1" applyFont="1" applyFill="1" applyBorder="1" applyAlignment="1">
      <alignment horizontal="center" vertical="center"/>
    </xf>
    <xf numFmtId="170" fontId="2" fillId="6" borderId="3" xfId="2" applyNumberFormat="1" applyFont="1" applyFill="1" applyBorder="1" applyAlignment="1">
      <alignment vertical="center"/>
    </xf>
    <xf numFmtId="0" fontId="2" fillId="6" borderId="3" xfId="0" applyFont="1" applyFill="1" applyBorder="1" applyAlignment="1">
      <alignment vertical="center" wrapText="1"/>
    </xf>
    <xf numFmtId="0" fontId="2" fillId="6" borderId="18" xfId="0" applyFont="1" applyFill="1" applyBorder="1" applyAlignment="1">
      <alignment horizontal="left" vertical="center" wrapText="1"/>
    </xf>
    <xf numFmtId="0" fontId="2" fillId="6" borderId="3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/>
    </xf>
    <xf numFmtId="0" fontId="40" fillId="6" borderId="3" xfId="0" applyFont="1" applyFill="1" applyBorder="1" applyAlignment="1">
      <alignment vertical="center"/>
    </xf>
    <xf numFmtId="0" fontId="41" fillId="6" borderId="3" xfId="0" applyFont="1" applyFill="1" applyBorder="1" applyAlignment="1">
      <alignment vertical="center"/>
    </xf>
    <xf numFmtId="15" fontId="3" fillId="6" borderId="0" xfId="0" applyNumberFormat="1" applyFont="1" applyFill="1" applyAlignment="1">
      <alignment horizontal="center" vertical="center" wrapText="1"/>
    </xf>
    <xf numFmtId="0" fontId="18" fillId="2" borderId="3" xfId="0" applyFont="1" applyFill="1" applyBorder="1" applyAlignment="1">
      <alignment vertical="center" wrapText="1"/>
    </xf>
    <xf numFmtId="170" fontId="8" fillId="6" borderId="3" xfId="2" applyNumberFormat="1" applyFont="1" applyFill="1" applyBorder="1" applyAlignment="1">
      <alignment horizontal="left" vertical="center"/>
    </xf>
    <xf numFmtId="170" fontId="6" fillId="6" borderId="3" xfId="2" applyNumberFormat="1" applyFont="1" applyFill="1" applyBorder="1" applyAlignment="1">
      <alignment horizontal="left" vertical="center"/>
    </xf>
    <xf numFmtId="170" fontId="6" fillId="51" borderId="3" xfId="2" applyNumberFormat="1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38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2" fillId="29" borderId="3" xfId="0" applyFont="1" applyFill="1" applyBorder="1" applyAlignment="1">
      <alignment horizontal="center" vertical="center" wrapText="1"/>
    </xf>
    <xf numFmtId="0" fontId="9" fillId="13" borderId="3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vertical="center"/>
    </xf>
    <xf numFmtId="0" fontId="2" fillId="27" borderId="0" xfId="0" applyFont="1" applyFill="1" applyAlignment="1">
      <alignment vertical="center"/>
    </xf>
    <xf numFmtId="0" fontId="12" fillId="25" borderId="3" xfId="0" applyFont="1" applyFill="1" applyBorder="1" applyAlignment="1">
      <alignment horizontal="left" vertical="center"/>
    </xf>
    <xf numFmtId="0" fontId="12" fillId="25" borderId="3" xfId="0" applyFont="1" applyFill="1" applyBorder="1" applyAlignment="1">
      <alignment horizontal="center" vertical="center"/>
    </xf>
    <xf numFmtId="15" fontId="30" fillId="18" borderId="3" xfId="0" applyNumberFormat="1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166" fontId="0" fillId="6" borderId="3" xfId="0" applyNumberFormat="1" applyFill="1" applyBorder="1" applyAlignment="1">
      <alignment horizontal="center" vertical="center"/>
    </xf>
    <xf numFmtId="3" fontId="40" fillId="38" borderId="5" xfId="2" applyNumberFormat="1" applyFont="1" applyFill="1" applyBorder="1" applyAlignment="1">
      <alignment horizontal="center" vertical="center"/>
    </xf>
    <xf numFmtId="15" fontId="13" fillId="18" borderId="3" xfId="0" applyNumberFormat="1" applyFont="1" applyFill="1" applyBorder="1" applyAlignment="1">
      <alignment horizontal="center" vertical="center" wrapText="1"/>
    </xf>
    <xf numFmtId="0" fontId="23" fillId="25" borderId="2" xfId="0" applyFont="1" applyFill="1" applyBorder="1" applyAlignment="1">
      <alignment horizontal="left" vertical="center"/>
    </xf>
    <xf numFmtId="0" fontId="23" fillId="25" borderId="2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23" fillId="6" borderId="2" xfId="0" applyFont="1" applyFill="1" applyBorder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42" fillId="23" borderId="2" xfId="0" applyFont="1" applyFill="1" applyBorder="1" applyAlignment="1">
      <alignment horizontal="left" vertical="center"/>
    </xf>
    <xf numFmtId="0" fontId="42" fillId="23" borderId="2" xfId="0" applyFont="1" applyFill="1" applyBorder="1" applyAlignment="1">
      <alignment horizontal="center" vertical="center"/>
    </xf>
    <xf numFmtId="0" fontId="43" fillId="23" borderId="3" xfId="0" applyFont="1" applyFill="1" applyBorder="1" applyAlignment="1">
      <alignment horizontal="center" vertical="center" wrapText="1"/>
    </xf>
    <xf numFmtId="0" fontId="11" fillId="23" borderId="3" xfId="0" applyFont="1" applyFill="1" applyBorder="1" applyAlignment="1">
      <alignment horizontal="center" vertical="center"/>
    </xf>
    <xf numFmtId="15" fontId="13" fillId="18" borderId="5" xfId="0" applyNumberFormat="1" applyFont="1" applyFill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/>
    </xf>
    <xf numFmtId="170" fontId="0" fillId="13" borderId="5" xfId="2" applyNumberFormat="1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4" fillId="6" borderId="5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5" fontId="13" fillId="18" borderId="11" xfId="0" applyNumberFormat="1" applyFont="1" applyFill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  <xf numFmtId="0" fontId="46" fillId="6" borderId="19" xfId="0" applyFont="1" applyFill="1" applyBorder="1" applyAlignment="1">
      <alignment horizontal="center" vertical="center" wrapText="1"/>
    </xf>
    <xf numFmtId="170" fontId="0" fillId="13" borderId="9" xfId="2" applyNumberFormat="1" applyFont="1" applyFill="1" applyBorder="1" applyAlignment="1">
      <alignment horizontal="center" vertical="center"/>
    </xf>
    <xf numFmtId="15" fontId="13" fillId="18" borderId="2" xfId="0" applyNumberFormat="1" applyFont="1" applyFill="1" applyBorder="1" applyAlignment="1">
      <alignment horizontal="center" vertical="center" wrapText="1"/>
    </xf>
    <xf numFmtId="0" fontId="46" fillId="6" borderId="3" xfId="0" applyFont="1" applyFill="1" applyBorder="1" applyAlignment="1">
      <alignment horizontal="center" vertical="center" wrapText="1"/>
    </xf>
    <xf numFmtId="170" fontId="0" fillId="13" borderId="8" xfId="2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11" fillId="42" borderId="3" xfId="0" applyFont="1" applyFill="1" applyBorder="1" applyAlignment="1">
      <alignment horizontal="center" vertical="center"/>
    </xf>
    <xf numFmtId="0" fontId="2" fillId="49" borderId="3" xfId="0" applyFont="1" applyFill="1" applyBorder="1" applyAlignment="1">
      <alignment vertical="center"/>
    </xf>
    <xf numFmtId="0" fontId="12" fillId="0" borderId="16" xfId="0" applyFont="1" applyBorder="1" applyAlignment="1">
      <alignment horizontal="center" vertical="center"/>
    </xf>
    <xf numFmtId="15" fontId="13" fillId="18" borderId="1" xfId="0" applyNumberFormat="1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44" fillId="0" borderId="5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45" fillId="0" borderId="5" xfId="0" applyFont="1" applyBorder="1" applyAlignment="1">
      <alignment horizontal="center" vertical="center" wrapText="1"/>
    </xf>
    <xf numFmtId="0" fontId="44" fillId="0" borderId="3" xfId="0" applyFont="1" applyBorder="1" applyAlignment="1">
      <alignment horizontal="center" vertical="center"/>
    </xf>
    <xf numFmtId="0" fontId="43" fillId="26" borderId="3" xfId="0" applyFont="1" applyFill="1" applyBorder="1" applyAlignment="1">
      <alignment horizontal="center" vertical="center" wrapText="1"/>
    </xf>
    <xf numFmtId="0" fontId="44" fillId="0" borderId="3" xfId="0" applyFont="1" applyBorder="1" applyAlignment="1">
      <alignment horizontal="center" vertical="center" wrapText="1"/>
    </xf>
    <xf numFmtId="0" fontId="43" fillId="13" borderId="0" xfId="0" applyFont="1" applyFill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/>
    </xf>
    <xf numFmtId="15" fontId="11" fillId="18" borderId="3" xfId="0" applyNumberFormat="1" applyFont="1" applyFill="1" applyBorder="1" applyAlignment="1">
      <alignment horizontal="center" vertical="center" wrapText="1"/>
    </xf>
    <xf numFmtId="0" fontId="40" fillId="38" borderId="3" xfId="2" applyNumberFormat="1" applyFont="1" applyFill="1" applyBorder="1" applyAlignment="1">
      <alignment horizontal="center" vertical="center"/>
    </xf>
    <xf numFmtId="0" fontId="11" fillId="18" borderId="3" xfId="0" applyFont="1" applyFill="1" applyBorder="1" applyAlignment="1">
      <alignment horizontal="center" vertical="center" wrapText="1"/>
    </xf>
    <xf numFmtId="0" fontId="2" fillId="38" borderId="3" xfId="2" applyNumberFormat="1" applyFont="1" applyFill="1" applyBorder="1" applyAlignment="1">
      <alignment horizontal="center" vertical="center"/>
    </xf>
    <xf numFmtId="0" fontId="47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vertical="center"/>
    </xf>
    <xf numFmtId="0" fontId="12" fillId="31" borderId="3" xfId="0" applyFont="1" applyFill="1" applyBorder="1" applyAlignment="1">
      <alignment horizontal="center" vertical="center" wrapText="1"/>
    </xf>
    <xf numFmtId="170" fontId="9" fillId="6" borderId="3" xfId="2" applyNumberFormat="1" applyFont="1" applyFill="1" applyBorder="1" applyAlignment="1">
      <alignment horizontal="center" vertical="center"/>
    </xf>
    <xf numFmtId="0" fontId="24" fillId="6" borderId="3" xfId="0" applyFont="1" applyFill="1" applyBorder="1" applyAlignment="1">
      <alignment vertical="center" textRotation="180"/>
    </xf>
    <xf numFmtId="0" fontId="12" fillId="31" borderId="3" xfId="0" applyFont="1" applyFill="1" applyBorder="1" applyAlignment="1">
      <alignment horizontal="center" vertical="center"/>
    </xf>
    <xf numFmtId="0" fontId="12" fillId="47" borderId="3" xfId="0" applyFont="1" applyFill="1" applyBorder="1" applyAlignment="1">
      <alignment horizontal="center" vertical="center"/>
    </xf>
    <xf numFmtId="0" fontId="43" fillId="47" borderId="3" xfId="0" applyFont="1" applyFill="1" applyBorder="1" applyAlignment="1">
      <alignment horizontal="center" vertical="center" wrapText="1"/>
    </xf>
    <xf numFmtId="0" fontId="11" fillId="47" borderId="3" xfId="0" applyFont="1" applyFill="1" applyBorder="1" applyAlignment="1">
      <alignment horizontal="center" vertical="center"/>
    </xf>
    <xf numFmtId="0" fontId="11" fillId="47" borderId="12" xfId="0" applyFont="1" applyFill="1" applyBorder="1" applyAlignment="1">
      <alignment horizontal="center" vertical="center" wrapText="1"/>
    </xf>
    <xf numFmtId="0" fontId="12" fillId="47" borderId="3" xfId="0" applyFont="1" applyFill="1" applyBorder="1" applyAlignment="1">
      <alignment vertical="center"/>
    </xf>
    <xf numFmtId="0" fontId="14" fillId="6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12" fillId="6" borderId="0" xfId="0" applyFont="1" applyFill="1" applyAlignment="1">
      <alignment horizontal="center" vertical="center"/>
    </xf>
    <xf numFmtId="15" fontId="3" fillId="6" borderId="3" xfId="0" applyNumberFormat="1" applyFont="1" applyFill="1" applyBorder="1" applyAlignment="1">
      <alignment horizontal="center" vertical="center" wrapText="1"/>
    </xf>
    <xf numFmtId="0" fontId="43" fillId="26" borderId="5" xfId="0" applyFont="1" applyFill="1" applyBorder="1" applyAlignment="1">
      <alignment horizontal="center" vertical="center" wrapText="1"/>
    </xf>
    <xf numFmtId="0" fontId="14" fillId="6" borderId="5" xfId="0" applyFont="1" applyFill="1" applyBorder="1" applyAlignment="1">
      <alignment horizontal="center" vertical="center"/>
    </xf>
    <xf numFmtId="15" fontId="3" fillId="6" borderId="5" xfId="0" applyNumberFormat="1" applyFont="1" applyFill="1" applyBorder="1" applyAlignment="1">
      <alignment horizontal="center" vertical="center" wrapText="1"/>
    </xf>
    <xf numFmtId="0" fontId="12" fillId="13" borderId="0" xfId="0" applyFont="1" applyFill="1" applyAlignment="1">
      <alignment horizontal="left" vertical="center"/>
    </xf>
    <xf numFmtId="0" fontId="12" fillId="13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 wrapText="1"/>
    </xf>
    <xf numFmtId="170" fontId="2" fillId="38" borderId="3" xfId="2" applyNumberFormat="1" applyFont="1" applyFill="1" applyBorder="1" applyAlignment="1">
      <alignment horizontal="center" vertical="center"/>
    </xf>
    <xf numFmtId="0" fontId="0" fillId="42" borderId="3" xfId="0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171" fontId="40" fillId="38" borderId="3" xfId="2" applyNumberFormat="1" applyFont="1" applyFill="1" applyBorder="1" applyAlignment="1">
      <alignment horizontal="center" vertical="center"/>
    </xf>
    <xf numFmtId="171" fontId="2" fillId="38" borderId="3" xfId="2" applyNumberFormat="1" applyFont="1" applyFill="1" applyBorder="1" applyAlignment="1">
      <alignment horizontal="center" vertical="center"/>
    </xf>
    <xf numFmtId="0" fontId="13" fillId="31" borderId="3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vertical="center"/>
    </xf>
    <xf numFmtId="0" fontId="12" fillId="45" borderId="3" xfId="0" applyFont="1" applyFill="1" applyBorder="1" applyAlignment="1">
      <alignment horizontal="left" vertical="center"/>
    </xf>
    <xf numFmtId="0" fontId="12" fillId="45" borderId="5" xfId="0" applyFont="1" applyFill="1" applyBorder="1" applyAlignment="1">
      <alignment horizontal="left" vertical="center"/>
    </xf>
    <xf numFmtId="0" fontId="13" fillId="6" borderId="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/>
    </xf>
    <xf numFmtId="0" fontId="48" fillId="38" borderId="3" xfId="2" applyNumberFormat="1" applyFont="1" applyFill="1" applyBorder="1" applyAlignment="1">
      <alignment horizontal="center" vertical="center"/>
    </xf>
    <xf numFmtId="0" fontId="11" fillId="38" borderId="3" xfId="0" applyFont="1" applyFill="1" applyBorder="1" applyAlignment="1">
      <alignment horizontal="center" vertical="center" wrapText="1"/>
    </xf>
    <xf numFmtId="14" fontId="11" fillId="0" borderId="3" xfId="0" applyNumberFormat="1" applyFont="1" applyBorder="1" applyAlignment="1">
      <alignment horizontal="center" vertical="center" wrapText="1"/>
    </xf>
    <xf numFmtId="0" fontId="10" fillId="12" borderId="3" xfId="0" applyFont="1" applyFill="1" applyBorder="1" applyAlignment="1">
      <alignment vertical="center" textRotation="180"/>
    </xf>
    <xf numFmtId="14" fontId="30" fillId="0" borderId="5" xfId="0" applyNumberFormat="1" applyFont="1" applyBorder="1" applyAlignment="1">
      <alignment horizontal="center" vertical="center" wrapText="1"/>
    </xf>
    <xf numFmtId="0" fontId="10" fillId="6" borderId="3" xfId="0" applyFont="1" applyFill="1" applyBorder="1" applyAlignment="1">
      <alignment vertical="center" textRotation="180"/>
    </xf>
    <xf numFmtId="0" fontId="10" fillId="0" borderId="3" xfId="0" applyFont="1" applyBorder="1" applyAlignment="1">
      <alignment vertical="center" textRotation="180"/>
    </xf>
    <xf numFmtId="0" fontId="2" fillId="51" borderId="3" xfId="0" applyFont="1" applyFill="1" applyBorder="1" applyAlignment="1">
      <alignment horizontal="left" vertical="center"/>
    </xf>
    <xf numFmtId="0" fontId="2" fillId="51" borderId="3" xfId="0" applyFont="1" applyFill="1" applyBorder="1" applyAlignment="1">
      <alignment horizontal="center" vertical="center"/>
    </xf>
    <xf numFmtId="0" fontId="43" fillId="51" borderId="3" xfId="0" applyFont="1" applyFill="1" applyBorder="1" applyAlignment="1">
      <alignment horizontal="center" vertical="center" wrapText="1"/>
    </xf>
    <xf numFmtId="0" fontId="48" fillId="51" borderId="3" xfId="2" applyNumberFormat="1" applyFont="1" applyFill="1" applyBorder="1" applyAlignment="1">
      <alignment horizontal="center" vertical="center"/>
    </xf>
    <xf numFmtId="0" fontId="10" fillId="51" borderId="3" xfId="0" applyFont="1" applyFill="1" applyBorder="1" applyAlignment="1">
      <alignment vertical="center" textRotation="180"/>
    </xf>
    <xf numFmtId="0" fontId="8" fillId="6" borderId="3" xfId="0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14" fontId="30" fillId="0" borderId="3" xfId="0" applyNumberFormat="1" applyFont="1" applyBorder="1" applyAlignment="1">
      <alignment horizontal="center" vertical="center" wrapText="1"/>
    </xf>
    <xf numFmtId="14" fontId="6" fillId="6" borderId="3" xfId="0" applyNumberFormat="1" applyFont="1" applyFill="1" applyBorder="1" applyAlignment="1">
      <alignment horizontal="center" vertical="center"/>
    </xf>
    <xf numFmtId="0" fontId="8" fillId="38" borderId="3" xfId="2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 textRotation="180"/>
    </xf>
    <xf numFmtId="0" fontId="6" fillId="0" borderId="3" xfId="0" applyFont="1" applyBorder="1" applyAlignment="1">
      <alignment vertical="center" textRotation="180"/>
    </xf>
    <xf numFmtId="0" fontId="0" fillId="31" borderId="3" xfId="0" applyFill="1" applyBorder="1" applyAlignment="1">
      <alignment horizontal="center" vertical="center"/>
    </xf>
    <xf numFmtId="0" fontId="49" fillId="52" borderId="3" xfId="0" applyFont="1" applyFill="1" applyBorder="1" applyAlignment="1">
      <alignment vertical="center"/>
    </xf>
    <xf numFmtId="0" fontId="2" fillId="38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49" borderId="3" xfId="0" applyFont="1" applyFill="1" applyBorder="1" applyAlignment="1">
      <alignment horizontal="center" vertical="center" wrapText="1"/>
    </xf>
    <xf numFmtId="0" fontId="2" fillId="49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17" fontId="0" fillId="6" borderId="0" xfId="0" applyNumberFormat="1" applyFont="1" applyFill="1" applyAlignment="1">
      <alignment vertical="center"/>
    </xf>
    <xf numFmtId="0" fontId="0" fillId="0" borderId="0" xfId="0" applyFont="1" applyAlignment="1">
      <alignment vertical="center"/>
    </xf>
    <xf numFmtId="0" fontId="0" fillId="2" borderId="0" xfId="0" applyFont="1" applyFill="1" applyAlignment="1">
      <alignment vertical="center"/>
    </xf>
    <xf numFmtId="0" fontId="0" fillId="29" borderId="3" xfId="0" applyFont="1" applyFill="1" applyBorder="1" applyAlignment="1">
      <alignment horizontal="center" vertical="center" wrapText="1"/>
    </xf>
    <xf numFmtId="167" fontId="0" fillId="6" borderId="0" xfId="0" applyNumberFormat="1" applyFont="1" applyFill="1" applyAlignment="1">
      <alignment vertical="center"/>
    </xf>
    <xf numFmtId="0" fontId="2" fillId="10" borderId="3" xfId="0" applyFont="1" applyFill="1" applyBorder="1" applyAlignment="1">
      <alignment horizontal="left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34" fillId="10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17" fontId="2" fillId="13" borderId="3" xfId="0" applyNumberFormat="1" applyFont="1" applyFill="1" applyBorder="1" applyAlignment="1">
      <alignment horizontal="center" vertical="center" wrapText="1"/>
    </xf>
    <xf numFmtId="17" fontId="2" fillId="17" borderId="3" xfId="0" applyNumberFormat="1" applyFont="1" applyFill="1" applyBorder="1" applyAlignment="1">
      <alignment horizontal="center" vertical="center" wrapText="1"/>
    </xf>
    <xf numFmtId="17" fontId="2" fillId="22" borderId="3" xfId="0" applyNumberFormat="1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17" fontId="2" fillId="24" borderId="3" xfId="0" applyNumberFormat="1" applyFont="1" applyFill="1" applyBorder="1" applyAlignment="1">
      <alignment horizontal="center" vertical="center" wrapText="1"/>
    </xf>
    <xf numFmtId="0" fontId="2" fillId="24" borderId="3" xfId="0" applyFont="1" applyFill="1" applyBorder="1" applyAlignment="1">
      <alignment horizontal="center" vertical="center" wrapText="1"/>
    </xf>
    <xf numFmtId="17" fontId="2" fillId="13" borderId="4" xfId="0" applyNumberFormat="1" applyFont="1" applyFill="1" applyBorder="1" applyAlignment="1">
      <alignment horizontal="center" vertical="center" wrapText="1"/>
    </xf>
    <xf numFmtId="17" fontId="2" fillId="13" borderId="7" xfId="0" applyNumberFormat="1" applyFont="1" applyFill="1" applyBorder="1" applyAlignment="1">
      <alignment horizontal="center" vertical="center" wrapText="1"/>
    </xf>
    <xf numFmtId="17" fontId="2" fillId="13" borderId="8" xfId="0" applyNumberFormat="1" applyFont="1" applyFill="1" applyBorder="1" applyAlignment="1">
      <alignment horizontal="center" vertical="center" wrapText="1"/>
    </xf>
    <xf numFmtId="17" fontId="2" fillId="17" borderId="4" xfId="0" applyNumberFormat="1" applyFont="1" applyFill="1" applyBorder="1" applyAlignment="1">
      <alignment horizontal="center" vertical="center" wrapText="1"/>
    </xf>
    <xf numFmtId="17" fontId="2" fillId="17" borderId="7" xfId="0" applyNumberFormat="1" applyFont="1" applyFill="1" applyBorder="1" applyAlignment="1">
      <alignment horizontal="center" vertical="center" wrapText="1"/>
    </xf>
    <xf numFmtId="17" fontId="2" fillId="17" borderId="8" xfId="0" applyNumberFormat="1" applyFont="1" applyFill="1" applyBorder="1" applyAlignment="1">
      <alignment horizontal="center" vertical="center" wrapText="1"/>
    </xf>
    <xf numFmtId="17" fontId="2" fillId="24" borderId="4" xfId="0" applyNumberFormat="1" applyFont="1" applyFill="1" applyBorder="1" applyAlignment="1">
      <alignment horizontal="center" vertical="center" wrapText="1"/>
    </xf>
    <xf numFmtId="17" fontId="2" fillId="24" borderId="7" xfId="0" applyNumberFormat="1" applyFont="1" applyFill="1" applyBorder="1" applyAlignment="1">
      <alignment horizontal="center" vertical="center" wrapText="1"/>
    </xf>
    <xf numFmtId="17" fontId="2" fillId="24" borderId="8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14" fontId="50" fillId="0" borderId="3" xfId="0" applyNumberFormat="1" applyFont="1" applyBorder="1" applyAlignment="1">
      <alignment horizontal="center" vertical="center" wrapText="1"/>
    </xf>
    <xf numFmtId="9" fontId="50" fillId="0" borderId="3" xfId="0" applyNumberFormat="1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167" fontId="2" fillId="13" borderId="3" xfId="0" applyNumberFormat="1" applyFont="1" applyFill="1" applyBorder="1" applyAlignment="1">
      <alignment vertical="center" wrapText="1"/>
    </xf>
    <xf numFmtId="0" fontId="2" fillId="13" borderId="3" xfId="0" applyFont="1" applyFill="1" applyBorder="1" applyAlignment="1">
      <alignment vertical="center" wrapText="1"/>
    </xf>
    <xf numFmtId="167" fontId="2" fillId="17" borderId="3" xfId="0" applyNumberFormat="1" applyFont="1" applyFill="1" applyBorder="1" applyAlignment="1">
      <alignment vertical="center" wrapText="1"/>
    </xf>
    <xf numFmtId="0" fontId="2" fillId="22" borderId="3" xfId="0" applyFont="1" applyFill="1" applyBorder="1" applyAlignment="1">
      <alignment vertical="center" wrapText="1"/>
    </xf>
    <xf numFmtId="0" fontId="2" fillId="17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vertical="center" wrapText="1"/>
    </xf>
    <xf numFmtId="167" fontId="2" fillId="22" borderId="3" xfId="0" applyNumberFormat="1" applyFont="1" applyFill="1" applyBorder="1" applyAlignment="1">
      <alignment vertical="center" wrapText="1"/>
    </xf>
    <xf numFmtId="0" fontId="2" fillId="17" borderId="4" xfId="0" applyFont="1" applyFill="1" applyBorder="1" applyAlignment="1">
      <alignment vertical="center" wrapText="1"/>
    </xf>
    <xf numFmtId="0" fontId="2" fillId="24" borderId="3" xfId="0" applyFont="1" applyFill="1" applyBorder="1" applyAlignment="1">
      <alignment vertical="center" wrapText="1"/>
    </xf>
    <xf numFmtId="167" fontId="2" fillId="24" borderId="3" xfId="0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6" borderId="3" xfId="0" applyNumberFormat="1" applyFont="1" applyFill="1" applyBorder="1" applyAlignment="1">
      <alignment horizontal="center" vertical="center"/>
    </xf>
    <xf numFmtId="166" fontId="0" fillId="6" borderId="3" xfId="0" applyNumberFormat="1" applyFont="1" applyFill="1" applyBorder="1" applyAlignment="1">
      <alignment horizontal="center" vertical="center"/>
    </xf>
    <xf numFmtId="15" fontId="0" fillId="18" borderId="3" xfId="0" applyNumberFormat="1" applyFont="1" applyFill="1" applyBorder="1" applyAlignment="1">
      <alignment horizontal="center" vertical="center"/>
    </xf>
    <xf numFmtId="0" fontId="0" fillId="6" borderId="5" xfId="0" applyFont="1" applyFill="1" applyBorder="1" applyAlignment="1">
      <alignment vertical="center" wrapText="1"/>
    </xf>
    <xf numFmtId="0" fontId="0" fillId="43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0" fontId="0" fillId="18" borderId="3" xfId="0" applyFont="1" applyFill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166" fontId="0" fillId="6" borderId="5" xfId="0" applyNumberFormat="1" applyFont="1" applyFill="1" applyBorder="1" applyAlignment="1">
      <alignment horizontal="center" vertical="center"/>
    </xf>
    <xf numFmtId="15" fontId="0" fillId="6" borderId="5" xfId="0" applyNumberFormat="1" applyFont="1" applyFill="1" applyBorder="1" applyAlignment="1">
      <alignment horizontal="center" vertical="center"/>
    </xf>
    <xf numFmtId="15" fontId="0" fillId="18" borderId="5" xfId="0" applyNumberFormat="1" applyFont="1" applyFill="1" applyBorder="1" applyAlignment="1">
      <alignment horizontal="center" vertical="center"/>
    </xf>
    <xf numFmtId="0" fontId="0" fillId="6" borderId="3" xfId="0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vertical="center" textRotation="180"/>
    </xf>
    <xf numFmtId="0" fontId="0" fillId="6" borderId="3" xfId="0" applyFont="1" applyFill="1" applyBorder="1" applyAlignment="1">
      <alignment vertical="center"/>
    </xf>
    <xf numFmtId="0" fontId="0" fillId="7" borderId="3" xfId="0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textRotation="180"/>
    </xf>
    <xf numFmtId="0" fontId="0" fillId="7" borderId="7" xfId="0" applyFont="1" applyFill="1" applyBorder="1" applyAlignment="1">
      <alignment horizontal="center" vertical="center" textRotation="180"/>
    </xf>
    <xf numFmtId="0" fontId="0" fillId="7" borderId="8" xfId="0" applyFont="1" applyFill="1" applyBorder="1" applyAlignment="1">
      <alignment horizontal="center" vertical="center" textRotation="180"/>
    </xf>
    <xf numFmtId="0" fontId="0" fillId="18" borderId="5" xfId="0" applyFont="1" applyFill="1" applyBorder="1" applyAlignment="1">
      <alignment vertical="center"/>
    </xf>
    <xf numFmtId="0" fontId="0" fillId="20" borderId="3" xfId="0" applyFont="1" applyFill="1" applyBorder="1" applyAlignment="1">
      <alignment vertical="center"/>
    </xf>
    <xf numFmtId="0" fontId="0" fillId="20" borderId="5" xfId="0" applyFont="1" applyFill="1" applyBorder="1" applyAlignment="1">
      <alignment vertical="center"/>
    </xf>
    <xf numFmtId="0" fontId="0" fillId="19" borderId="3" xfId="0" applyFont="1" applyFill="1" applyBorder="1" applyAlignment="1">
      <alignment vertical="center"/>
    </xf>
    <xf numFmtId="0" fontId="0" fillId="7" borderId="0" xfId="0" applyFont="1" applyFill="1" applyAlignment="1">
      <alignment vertical="center" textRotation="180"/>
    </xf>
    <xf numFmtId="0" fontId="0" fillId="15" borderId="4" xfId="0" applyFont="1" applyFill="1" applyBorder="1" applyAlignment="1">
      <alignment horizontal="center" vertical="center"/>
    </xf>
    <xf numFmtId="0" fontId="0" fillId="15" borderId="7" xfId="0" applyFont="1" applyFill="1" applyBorder="1" applyAlignment="1">
      <alignment horizontal="center" vertical="center"/>
    </xf>
    <xf numFmtId="0" fontId="0" fillId="15" borderId="8" xfId="0" applyFont="1" applyFill="1" applyBorder="1" applyAlignment="1">
      <alignment horizontal="center" vertical="center"/>
    </xf>
    <xf numFmtId="0" fontId="0" fillId="10" borderId="5" xfId="0" applyFont="1" applyFill="1" applyBorder="1" applyAlignment="1">
      <alignment vertical="center" textRotation="180"/>
    </xf>
    <xf numFmtId="0" fontId="0" fillId="23" borderId="2" xfId="0" applyFont="1" applyFill="1" applyBorder="1" applyAlignment="1">
      <alignment horizontal="center" vertical="center" wrapText="1"/>
    </xf>
    <xf numFmtId="15" fontId="0" fillId="23" borderId="5" xfId="0" applyNumberFormat="1" applyFont="1" applyFill="1" applyBorder="1" applyAlignment="1">
      <alignment horizontal="center" vertical="center"/>
    </xf>
    <xf numFmtId="166" fontId="0" fillId="23" borderId="5" xfId="0" applyNumberFormat="1" applyFont="1" applyFill="1" applyBorder="1" applyAlignment="1">
      <alignment horizontal="center" vertical="center"/>
    </xf>
    <xf numFmtId="0" fontId="0" fillId="23" borderId="3" xfId="0" applyFont="1" applyFill="1" applyBorder="1" applyAlignment="1">
      <alignment vertical="center"/>
    </xf>
    <xf numFmtId="0" fontId="0" fillId="23" borderId="5" xfId="0" applyFont="1" applyFill="1" applyBorder="1" applyAlignment="1">
      <alignment vertical="center"/>
    </xf>
    <xf numFmtId="0" fontId="0" fillId="23" borderId="4" xfId="0" applyFont="1" applyFill="1" applyBorder="1" applyAlignment="1">
      <alignment vertical="center"/>
    </xf>
    <xf numFmtId="0" fontId="0" fillId="23" borderId="2" xfId="0" applyFont="1" applyFill="1" applyBorder="1" applyAlignment="1">
      <alignment vertical="center"/>
    </xf>
    <xf numFmtId="0" fontId="0" fillId="21" borderId="10" xfId="0" applyFont="1" applyFill="1" applyBorder="1" applyAlignment="1">
      <alignment vertical="center"/>
    </xf>
    <xf numFmtId="0" fontId="0" fillId="20" borderId="10" xfId="0" applyFont="1" applyFill="1" applyBorder="1" applyAlignment="1">
      <alignment vertical="center"/>
    </xf>
    <xf numFmtId="0" fontId="0" fillId="20" borderId="2" xfId="0" applyFont="1" applyFill="1" applyBorder="1" applyAlignment="1">
      <alignment vertical="center"/>
    </xf>
    <xf numFmtId="0" fontId="0" fillId="19" borderId="2" xfId="0" applyFont="1" applyFill="1" applyBorder="1" applyAlignment="1">
      <alignment vertical="center"/>
    </xf>
    <xf numFmtId="0" fontId="0" fillId="3" borderId="3" xfId="0" applyFont="1" applyFill="1" applyBorder="1" applyAlignment="1">
      <alignment vertical="center"/>
    </xf>
    <xf numFmtId="15" fontId="0" fillId="6" borderId="5" xfId="0" applyNumberFormat="1" applyFont="1" applyFill="1" applyBorder="1" applyAlignment="1">
      <alignment horizontal="center" vertical="center" wrapText="1"/>
    </xf>
    <xf numFmtId="0" fontId="0" fillId="6" borderId="5" xfId="0" applyFont="1" applyFill="1" applyBorder="1" applyAlignment="1">
      <alignment horizontal="center" vertical="center" wrapText="1"/>
    </xf>
    <xf numFmtId="0" fontId="0" fillId="11" borderId="10" xfId="0" applyFont="1" applyFill="1" applyBorder="1" applyAlignment="1">
      <alignment vertical="center"/>
    </xf>
    <xf numFmtId="0" fontId="0" fillId="18" borderId="10" xfId="0" applyFont="1" applyFill="1" applyBorder="1" applyAlignment="1">
      <alignment vertical="center"/>
    </xf>
    <xf numFmtId="0" fontId="0" fillId="19" borderId="3" xfId="0" applyFont="1" applyFill="1" applyBorder="1" applyAlignment="1">
      <alignment horizontal="center" vertical="center"/>
    </xf>
    <xf numFmtId="0" fontId="0" fillId="14" borderId="3" xfId="0" applyFont="1" applyFill="1" applyBorder="1" applyAlignment="1">
      <alignment vertical="center" wrapText="1"/>
    </xf>
    <xf numFmtId="0" fontId="0" fillId="48" borderId="3" xfId="0" applyFont="1" applyFill="1" applyBorder="1" applyAlignment="1">
      <alignment horizontal="center" vertical="center"/>
    </xf>
    <xf numFmtId="15" fontId="0" fillId="6" borderId="8" xfId="0" applyNumberFormat="1" applyFont="1" applyFill="1" applyBorder="1" applyAlignment="1">
      <alignment horizontal="center" vertical="center"/>
    </xf>
    <xf numFmtId="15" fontId="0" fillId="50" borderId="3" xfId="0" applyNumberFormat="1" applyFont="1" applyFill="1" applyBorder="1" applyAlignment="1">
      <alignment horizontal="center" vertical="center"/>
    </xf>
    <xf numFmtId="0" fontId="0" fillId="6" borderId="3" xfId="0" applyFont="1" applyFill="1" applyBorder="1" applyAlignment="1">
      <alignment horizontal="left" vertical="center" wrapText="1"/>
    </xf>
    <xf numFmtId="0" fontId="0" fillId="2" borderId="2" xfId="0" applyFont="1" applyFill="1" applyBorder="1" applyAlignment="1">
      <alignment vertical="center"/>
    </xf>
    <xf numFmtId="0" fontId="0" fillId="11" borderId="2" xfId="0" applyFont="1" applyFill="1" applyBorder="1" applyAlignment="1">
      <alignment vertical="center"/>
    </xf>
    <xf numFmtId="0" fontId="0" fillId="21" borderId="2" xfId="0" applyFont="1" applyFill="1" applyBorder="1" applyAlignment="1">
      <alignment vertical="center"/>
    </xf>
    <xf numFmtId="0" fontId="0" fillId="18" borderId="2" xfId="0" applyFont="1" applyFill="1" applyBorder="1" applyAlignment="1">
      <alignment vertical="center"/>
    </xf>
    <xf numFmtId="0" fontId="0" fillId="2" borderId="3" xfId="0" applyFont="1" applyFill="1" applyBorder="1" applyAlignment="1">
      <alignment vertical="center"/>
    </xf>
    <xf numFmtId="0" fontId="0" fillId="11" borderId="3" xfId="0" applyFont="1" applyFill="1" applyBorder="1" applyAlignment="1">
      <alignment vertical="center"/>
    </xf>
    <xf numFmtId="0" fontId="0" fillId="21" borderId="3" xfId="0" applyFont="1" applyFill="1" applyBorder="1" applyAlignment="1">
      <alignment vertical="center"/>
    </xf>
    <xf numFmtId="15" fontId="0" fillId="13" borderId="8" xfId="0" applyNumberFormat="1" applyFont="1" applyFill="1" applyBorder="1" applyAlignment="1">
      <alignment horizontal="center" vertical="center" wrapText="1"/>
    </xf>
    <xf numFmtId="15" fontId="0" fillId="6" borderId="9" xfId="0" applyNumberFormat="1" applyFont="1" applyFill="1" applyBorder="1" applyAlignment="1">
      <alignment horizontal="center" vertical="center"/>
    </xf>
    <xf numFmtId="15" fontId="0" fillId="13" borderId="9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>
      <alignment horizontal="left" vertical="center" wrapText="1"/>
    </xf>
    <xf numFmtId="0" fontId="0" fillId="6" borderId="5" xfId="0" applyFont="1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11" borderId="5" xfId="0" applyFont="1" applyFill="1" applyBorder="1" applyAlignment="1">
      <alignment vertical="center"/>
    </xf>
    <xf numFmtId="0" fontId="0" fillId="21" borderId="5" xfId="0" applyFont="1" applyFill="1" applyBorder="1" applyAlignment="1">
      <alignment vertical="center"/>
    </xf>
    <xf numFmtId="0" fontId="0" fillId="3" borderId="3" xfId="0" applyFont="1" applyFill="1" applyBorder="1" applyAlignment="1">
      <alignment vertical="center" textRotation="180" wrapText="1"/>
    </xf>
    <xf numFmtId="15" fontId="0" fillId="6" borderId="5" xfId="0" applyNumberFormat="1" applyFont="1" applyFill="1" applyBorder="1" applyAlignment="1">
      <alignment vertical="center" wrapText="1"/>
    </xf>
    <xf numFmtId="15" fontId="0" fillId="6" borderId="3" xfId="0" applyNumberFormat="1" applyFont="1" applyFill="1" applyBorder="1" applyAlignment="1">
      <alignment vertical="center" wrapText="1"/>
    </xf>
    <xf numFmtId="15" fontId="0" fillId="13" borderId="3" xfId="0" applyNumberFormat="1" applyFont="1" applyFill="1" applyBorder="1" applyAlignment="1">
      <alignment horizontal="center" vertical="center" wrapText="1"/>
    </xf>
    <xf numFmtId="0" fontId="0" fillId="48" borderId="5" xfId="0" applyFont="1" applyFill="1" applyBorder="1" applyAlignment="1">
      <alignment horizontal="center" vertical="center"/>
    </xf>
    <xf numFmtId="15" fontId="0" fillId="13" borderId="5" xfId="0" applyNumberFormat="1" applyFont="1" applyFill="1" applyBorder="1" applyAlignment="1">
      <alignment horizontal="center" vertical="center" wrapText="1"/>
    </xf>
    <xf numFmtId="0" fontId="0" fillId="13" borderId="0" xfId="0" applyFont="1" applyFill="1" applyAlignment="1">
      <alignment horizontal="center" vertical="center"/>
    </xf>
    <xf numFmtId="0" fontId="0" fillId="13" borderId="0" xfId="0" applyFont="1" applyFill="1" applyAlignment="1">
      <alignment horizontal="center" vertical="center" wrapText="1"/>
    </xf>
    <xf numFmtId="15" fontId="0" fillId="13" borderId="0" xfId="0" applyNumberFormat="1" applyFont="1" applyFill="1" applyAlignment="1">
      <alignment horizontal="center" vertical="center"/>
    </xf>
    <xf numFmtId="0" fontId="0" fillId="13" borderId="0" xfId="0" applyFont="1" applyFill="1" applyAlignment="1">
      <alignment vertical="center"/>
    </xf>
    <xf numFmtId="168" fontId="0" fillId="6" borderId="3" xfId="0" applyNumberFormat="1" applyFont="1" applyFill="1" applyBorder="1" applyAlignment="1">
      <alignment horizontal="center" vertical="center"/>
    </xf>
    <xf numFmtId="0" fontId="0" fillId="0" borderId="8" xfId="0" applyFont="1" applyBorder="1" applyAlignment="1">
      <alignment vertical="center"/>
    </xf>
    <xf numFmtId="14" fontId="0" fillId="42" borderId="3" xfId="0" applyNumberFormat="1" applyFont="1" applyFill="1" applyBorder="1" applyAlignment="1">
      <alignment horizontal="center" vertical="center"/>
    </xf>
    <xf numFmtId="14" fontId="0" fillId="6" borderId="3" xfId="0" applyNumberFormat="1" applyFont="1" applyFill="1" applyBorder="1" applyAlignment="1">
      <alignment horizontal="center" vertical="center"/>
    </xf>
    <xf numFmtId="0" fontId="0" fillId="6" borderId="3" xfId="0" applyFont="1" applyFill="1" applyBorder="1" applyAlignment="1">
      <alignment vertical="center" wrapText="1"/>
    </xf>
    <xf numFmtId="0" fontId="0" fillId="15" borderId="3" xfId="0" applyFont="1" applyFill="1" applyBorder="1" applyAlignment="1">
      <alignment vertical="center" textRotation="180"/>
    </xf>
    <xf numFmtId="0" fontId="0" fillId="15" borderId="3" xfId="0" applyFont="1" applyFill="1" applyBorder="1" applyAlignment="1">
      <alignment horizontal="center" vertical="center" textRotation="180"/>
    </xf>
    <xf numFmtId="0" fontId="0" fillId="3" borderId="3" xfId="0" applyFont="1" applyFill="1" applyBorder="1" applyAlignment="1">
      <alignment vertical="center" textRotation="180"/>
    </xf>
    <xf numFmtId="0" fontId="0" fillId="31" borderId="3" xfId="0" applyFont="1" applyFill="1" applyBorder="1" applyAlignment="1">
      <alignment vertical="center"/>
    </xf>
    <xf numFmtId="0" fontId="0" fillId="19" borderId="5" xfId="0" applyFont="1" applyFill="1" applyBorder="1" applyAlignment="1">
      <alignment vertical="center"/>
    </xf>
    <xf numFmtId="0" fontId="0" fillId="19" borderId="1" xfId="0" applyFont="1" applyFill="1" applyBorder="1" applyAlignment="1">
      <alignment vertical="center"/>
    </xf>
    <xf numFmtId="0" fontId="0" fillId="15" borderId="0" xfId="0" applyFont="1" applyFill="1" applyAlignment="1">
      <alignment vertical="center" textRotation="180"/>
    </xf>
    <xf numFmtId="0" fontId="0" fillId="3" borderId="2" xfId="0" applyFont="1" applyFill="1" applyBorder="1" applyAlignment="1">
      <alignment vertical="center" textRotation="180"/>
    </xf>
    <xf numFmtId="0" fontId="0" fillId="19" borderId="9" xfId="0" applyFont="1" applyFill="1" applyBorder="1" applyAlignment="1">
      <alignment vertical="center"/>
    </xf>
    <xf numFmtId="0" fontId="0" fillId="10" borderId="4" xfId="0" applyFont="1" applyFill="1" applyBorder="1" applyAlignment="1">
      <alignment horizontal="center" vertical="center"/>
    </xf>
    <xf numFmtId="0" fontId="0" fillId="10" borderId="7" xfId="0" applyFont="1" applyFill="1" applyBorder="1" applyAlignment="1">
      <alignment horizontal="center" vertical="center"/>
    </xf>
    <xf numFmtId="0" fontId="0" fillId="10" borderId="8" xfId="0" applyFont="1" applyFill="1" applyBorder="1" applyAlignment="1">
      <alignment horizontal="center" vertical="center"/>
    </xf>
    <xf numFmtId="0" fontId="0" fillId="20" borderId="9" xfId="0" applyFont="1" applyFill="1" applyBorder="1" applyAlignment="1">
      <alignment vertical="center"/>
    </xf>
    <xf numFmtId="0" fontId="0" fillId="0" borderId="7" xfId="0" applyFont="1" applyBorder="1" applyAlignment="1">
      <alignment vertical="center"/>
    </xf>
    <xf numFmtId="0" fontId="0" fillId="21" borderId="8" xfId="0" applyFont="1" applyFill="1" applyBorder="1" applyAlignment="1">
      <alignment vertical="center"/>
    </xf>
    <xf numFmtId="0" fontId="0" fillId="0" borderId="0" xfId="0" applyFont="1" applyAlignment="1">
      <alignment vertical="center" textRotation="180"/>
    </xf>
    <xf numFmtId="0" fontId="0" fillId="0" borderId="2" xfId="0" applyFont="1" applyBorder="1" applyAlignment="1">
      <alignment vertical="center"/>
    </xf>
    <xf numFmtId="0" fontId="0" fillId="2" borderId="8" xfId="0" applyFont="1" applyFill="1" applyBorder="1" applyAlignment="1">
      <alignment vertical="center"/>
    </xf>
    <xf numFmtId="0" fontId="0" fillId="0" borderId="3" xfId="0" applyFont="1" applyBorder="1" applyAlignment="1">
      <alignment vertical="center" textRotation="180"/>
    </xf>
    <xf numFmtId="0" fontId="0" fillId="13" borderId="0" xfId="0" applyFont="1" applyFill="1" applyAlignment="1">
      <alignment vertical="center" textRotation="180"/>
    </xf>
    <xf numFmtId="0" fontId="0" fillId="6" borderId="8" xfId="0" applyFont="1" applyFill="1" applyBorder="1" applyAlignment="1">
      <alignment vertical="center"/>
    </xf>
    <xf numFmtId="15" fontId="0" fillId="4" borderId="3" xfId="0" applyNumberFormat="1" applyFont="1" applyFill="1" applyBorder="1" applyAlignment="1">
      <alignment horizontal="center" vertical="center"/>
    </xf>
    <xf numFmtId="0" fontId="0" fillId="6" borderId="0" xfId="0" applyFont="1" applyFill="1" applyAlignment="1">
      <alignment horizontal="center" vertical="center" wrapText="1"/>
    </xf>
    <xf numFmtId="0" fontId="0" fillId="0" borderId="6" xfId="0" applyFont="1" applyBorder="1" applyAlignment="1">
      <alignment vertical="center"/>
    </xf>
    <xf numFmtId="0" fontId="0" fillId="0" borderId="9" xfId="0" applyFont="1" applyBorder="1" applyAlignment="1">
      <alignment vertical="center"/>
    </xf>
    <xf numFmtId="0" fontId="0" fillId="2" borderId="1" xfId="0" applyFont="1" applyFill="1" applyBorder="1" applyAlignment="1">
      <alignment vertical="center"/>
    </xf>
    <xf numFmtId="0" fontId="0" fillId="21" borderId="3" xfId="0" applyFont="1" applyFill="1" applyBorder="1" applyAlignment="1">
      <alignment vertical="center" textRotation="180"/>
    </xf>
    <xf numFmtId="0" fontId="0" fillId="15" borderId="3" xfId="0" applyFont="1" applyFill="1" applyBorder="1" applyAlignment="1">
      <alignment horizontal="left" vertical="center"/>
    </xf>
    <xf numFmtId="0" fontId="0" fillId="15" borderId="3" xfId="0" applyFont="1" applyFill="1" applyBorder="1" applyAlignment="1">
      <alignment horizontal="center" vertical="center"/>
    </xf>
    <xf numFmtId="0" fontId="0" fillId="11" borderId="3" xfId="0" applyFont="1" applyFill="1" applyBorder="1" applyAlignment="1">
      <alignment vertical="center" textRotation="180"/>
    </xf>
    <xf numFmtId="14" fontId="0" fillId="2" borderId="3" xfId="0" applyNumberFormat="1" applyFont="1" applyFill="1" applyBorder="1" applyAlignment="1">
      <alignment horizontal="center" vertical="center"/>
    </xf>
    <xf numFmtId="14" fontId="0" fillId="47" borderId="13" xfId="0" applyNumberFormat="1" applyFont="1" applyFill="1" applyBorder="1" applyAlignment="1">
      <alignment horizontal="center" vertical="center"/>
    </xf>
    <xf numFmtId="168" fontId="0" fillId="47" borderId="14" xfId="0" applyNumberFormat="1" applyFont="1" applyFill="1" applyBorder="1" applyAlignment="1">
      <alignment horizontal="center" vertical="center"/>
    </xf>
    <xf numFmtId="15" fontId="0" fillId="47" borderId="14" xfId="0" applyNumberFormat="1" applyFont="1" applyFill="1" applyBorder="1" applyAlignment="1">
      <alignment horizontal="center" vertical="center"/>
    </xf>
    <xf numFmtId="166" fontId="0" fillId="47" borderId="14" xfId="0" applyNumberFormat="1" applyFont="1" applyFill="1" applyBorder="1" applyAlignment="1">
      <alignment horizontal="center" vertical="center"/>
    </xf>
    <xf numFmtId="15" fontId="0" fillId="47" borderId="15" xfId="0" applyNumberFormat="1" applyFont="1" applyFill="1" applyBorder="1" applyAlignment="1">
      <alignment horizontal="center" vertical="center"/>
    </xf>
    <xf numFmtId="0" fontId="0" fillId="47" borderId="8" xfId="0" applyFont="1" applyFill="1" applyBorder="1" applyAlignment="1">
      <alignment vertical="center"/>
    </xf>
    <xf numFmtId="0" fontId="0" fillId="47" borderId="3" xfId="0" applyFont="1" applyFill="1" applyBorder="1" applyAlignment="1">
      <alignment vertical="center"/>
    </xf>
    <xf numFmtId="0" fontId="0" fillId="47" borderId="2" xfId="0" applyFont="1" applyFill="1" applyBorder="1" applyAlignment="1">
      <alignment vertical="center"/>
    </xf>
    <xf numFmtId="168" fontId="0" fillId="6" borderId="2" xfId="0" applyNumberFormat="1" applyFont="1" applyFill="1" applyBorder="1" applyAlignment="1">
      <alignment horizontal="center" vertical="center"/>
    </xf>
    <xf numFmtId="15" fontId="0" fillId="6" borderId="2" xfId="0" applyNumberFormat="1" applyFont="1" applyFill="1" applyBorder="1" applyAlignment="1">
      <alignment horizontal="center" vertical="center"/>
    </xf>
    <xf numFmtId="166" fontId="0" fillId="6" borderId="2" xfId="0" applyNumberFormat="1" applyFont="1" applyFill="1" applyBorder="1" applyAlignment="1">
      <alignment horizontal="center" vertical="center"/>
    </xf>
    <xf numFmtId="15" fontId="0" fillId="18" borderId="2" xfId="0" applyNumberFormat="1" applyFont="1" applyFill="1" applyBorder="1" applyAlignment="1">
      <alignment horizontal="center" vertical="center"/>
    </xf>
    <xf numFmtId="0" fontId="0" fillId="13" borderId="3" xfId="0" applyFont="1" applyFill="1" applyBorder="1" applyAlignment="1">
      <alignment vertical="center"/>
    </xf>
    <xf numFmtId="0" fontId="0" fillId="38" borderId="3" xfId="0" applyFont="1" applyFill="1" applyBorder="1" applyAlignment="1">
      <alignment vertical="center"/>
    </xf>
    <xf numFmtId="0" fontId="0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15" fontId="0" fillId="0" borderId="3" xfId="0" applyNumberFormat="1" applyFont="1" applyBorder="1" applyAlignment="1">
      <alignment horizontal="center" vertical="center"/>
    </xf>
    <xf numFmtId="168" fontId="0" fillId="6" borderId="5" xfId="0" applyNumberFormat="1" applyFont="1" applyFill="1" applyBorder="1" applyAlignment="1">
      <alignment horizontal="center" vertical="center"/>
    </xf>
    <xf numFmtId="15" fontId="0" fillId="6" borderId="1" xfId="0" applyNumberFormat="1" applyFont="1" applyFill="1" applyBorder="1" applyAlignment="1">
      <alignment horizontal="center" vertical="center"/>
    </xf>
    <xf numFmtId="166" fontId="0" fillId="6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14" fontId="0" fillId="13" borderId="0" xfId="0" applyNumberFormat="1" applyFont="1" applyFill="1" applyAlignment="1">
      <alignment horizontal="center" vertical="center"/>
    </xf>
    <xf numFmtId="14" fontId="0" fillId="42" borderId="2" xfId="0" applyNumberFormat="1" applyFont="1" applyFill="1" applyBorder="1" applyAlignment="1">
      <alignment horizontal="center" vertical="center"/>
    </xf>
    <xf numFmtId="168" fontId="0" fillId="18" borderId="3" xfId="0" applyNumberFormat="1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6" borderId="3" xfId="0" applyFont="1" applyFill="1" applyBorder="1" applyAlignment="1">
      <alignment vertical="center" textRotation="180" wrapText="1"/>
    </xf>
    <xf numFmtId="0" fontId="0" fillId="6" borderId="3" xfId="0" applyFont="1" applyFill="1" applyBorder="1" applyAlignment="1">
      <alignment vertical="center" textRotation="180"/>
    </xf>
    <xf numFmtId="0" fontId="0" fillId="40" borderId="3" xfId="0" applyFont="1" applyFill="1" applyBorder="1" applyAlignment="1">
      <alignment vertical="center"/>
    </xf>
    <xf numFmtId="0" fontId="0" fillId="30" borderId="3" xfId="0" applyFont="1" applyFill="1" applyBorder="1" applyAlignment="1">
      <alignment vertical="center"/>
    </xf>
    <xf numFmtId="166" fontId="0" fillId="6" borderId="3" xfId="0" applyNumberFormat="1" applyFont="1" applyFill="1" applyBorder="1" applyAlignment="1">
      <alignment vertical="center" wrapText="1"/>
    </xf>
    <xf numFmtId="0" fontId="0" fillId="42" borderId="3" xfId="0" applyFont="1" applyFill="1" applyBorder="1" applyAlignment="1">
      <alignment horizontal="center" vertical="center"/>
    </xf>
    <xf numFmtId="0" fontId="0" fillId="6" borderId="3" xfId="0" applyFont="1" applyFill="1" applyBorder="1" applyAlignment="1">
      <alignment horizontal="center" vertical="center"/>
    </xf>
    <xf numFmtId="0" fontId="0" fillId="41" borderId="3" xfId="0" applyFont="1" applyFill="1" applyBorder="1" applyAlignment="1">
      <alignment vertical="center"/>
    </xf>
    <xf numFmtId="0" fontId="0" fillId="6" borderId="0" xfId="0" applyFont="1" applyFill="1" applyAlignment="1">
      <alignment vertical="center" wrapText="1"/>
    </xf>
    <xf numFmtId="0" fontId="0" fillId="28" borderId="3" xfId="0" applyFont="1" applyFill="1" applyBorder="1" applyAlignment="1">
      <alignment vertical="center"/>
    </xf>
    <xf numFmtId="0" fontId="0" fillId="28" borderId="3" xfId="0" applyFont="1" applyFill="1" applyBorder="1" applyAlignment="1">
      <alignment vertical="center" textRotation="180"/>
    </xf>
    <xf numFmtId="166" fontId="0" fillId="6" borderId="3" xfId="0" applyNumberFormat="1" applyFont="1" applyFill="1" applyBorder="1" applyAlignment="1">
      <alignment horizontal="center" vertical="center" wrapText="1"/>
    </xf>
    <xf numFmtId="0" fontId="0" fillId="16" borderId="3" xfId="0" applyFont="1" applyFill="1" applyBorder="1" applyAlignment="1">
      <alignment vertical="center"/>
    </xf>
    <xf numFmtId="0" fontId="0" fillId="16" borderId="3" xfId="0" applyFont="1" applyFill="1" applyBorder="1" applyAlignment="1">
      <alignment vertical="center" textRotation="180"/>
    </xf>
    <xf numFmtId="0" fontId="0" fillId="32" borderId="3" xfId="0" applyFont="1" applyFill="1" applyBorder="1" applyAlignment="1">
      <alignment vertical="center"/>
    </xf>
    <xf numFmtId="0" fontId="0" fillId="15" borderId="4" xfId="0" applyFont="1" applyFill="1" applyBorder="1" applyAlignment="1">
      <alignment horizontal="center" vertical="center" wrapText="1"/>
    </xf>
    <xf numFmtId="0" fontId="0" fillId="15" borderId="7" xfId="0" applyFont="1" applyFill="1" applyBorder="1" applyAlignment="1">
      <alignment horizontal="center" vertical="center" wrapText="1"/>
    </xf>
    <xf numFmtId="0" fontId="0" fillId="15" borderId="8" xfId="0" applyFont="1" applyFill="1" applyBorder="1" applyAlignment="1">
      <alignment horizontal="center" vertical="center" wrapText="1"/>
    </xf>
    <xf numFmtId="14" fontId="0" fillId="48" borderId="3" xfId="0" applyNumberFormat="1" applyFont="1" applyFill="1" applyBorder="1" applyAlignment="1">
      <alignment horizontal="center" vertical="center"/>
    </xf>
    <xf numFmtId="0" fontId="0" fillId="6" borderId="2" xfId="0" applyFont="1" applyFill="1" applyBorder="1" applyAlignment="1">
      <alignment vertical="center"/>
    </xf>
    <xf numFmtId="15" fontId="0" fillId="48" borderId="3" xfId="0" applyNumberFormat="1" applyFont="1" applyFill="1" applyBorder="1" applyAlignment="1">
      <alignment horizontal="center" vertical="center"/>
    </xf>
    <xf numFmtId="0" fontId="0" fillId="6" borderId="3" xfId="0" applyFont="1" applyFill="1" applyBorder="1" applyAlignment="1">
      <alignment horizontal="left" vertical="center"/>
    </xf>
    <xf numFmtId="0" fontId="0" fillId="32" borderId="4" xfId="0" applyFont="1" applyFill="1" applyBorder="1" applyAlignment="1">
      <alignment horizontal="center" vertical="center"/>
    </xf>
    <xf numFmtId="0" fontId="0" fillId="32" borderId="7" xfId="0" applyFont="1" applyFill="1" applyBorder="1" applyAlignment="1">
      <alignment horizontal="center" vertical="center"/>
    </xf>
    <xf numFmtId="0" fontId="0" fillId="32" borderId="8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15" borderId="3" xfId="0" applyFont="1" applyFill="1" applyBorder="1" applyAlignment="1">
      <alignment vertical="center" textRotation="180" wrapText="1"/>
    </xf>
    <xf numFmtId="0" fontId="0" fillId="6" borderId="4" xfId="0" applyFont="1" applyFill="1" applyBorder="1" applyAlignment="1">
      <alignment vertical="center"/>
    </xf>
    <xf numFmtId="14" fontId="0" fillId="6" borderId="3" xfId="0" applyNumberFormat="1" applyFont="1" applyFill="1" applyBorder="1" applyAlignment="1">
      <alignment vertical="center"/>
    </xf>
    <xf numFmtId="0" fontId="0" fillId="40" borderId="4" xfId="0" applyFont="1" applyFill="1" applyBorder="1" applyAlignment="1">
      <alignment vertical="center"/>
    </xf>
    <xf numFmtId="0" fontId="0" fillId="30" borderId="4" xfId="0" applyFont="1" applyFill="1" applyBorder="1" applyAlignment="1">
      <alignment vertical="center"/>
    </xf>
    <xf numFmtId="0" fontId="0" fillId="10" borderId="3" xfId="0" applyFont="1" applyFill="1" applyBorder="1" applyAlignment="1">
      <alignment vertical="center"/>
    </xf>
    <xf numFmtId="0" fontId="0" fillId="19" borderId="4" xfId="0" applyFont="1" applyFill="1" applyBorder="1" applyAlignment="1">
      <alignment vertical="center"/>
    </xf>
    <xf numFmtId="0" fontId="0" fillId="20" borderId="4" xfId="0" applyFont="1" applyFill="1" applyBorder="1" applyAlignment="1">
      <alignment vertical="center"/>
    </xf>
    <xf numFmtId="0" fontId="0" fillId="0" borderId="3" xfId="0" applyFont="1" applyBorder="1" applyAlignment="1">
      <alignment vertical="center" textRotation="180" wrapText="1"/>
    </xf>
    <xf numFmtId="0" fontId="0" fillId="41" borderId="4" xfId="0" applyFont="1" applyFill="1" applyBorder="1" applyAlignment="1">
      <alignment vertical="center"/>
    </xf>
    <xf numFmtId="0" fontId="0" fillId="28" borderId="4" xfId="0" applyFont="1" applyFill="1" applyBorder="1" applyAlignment="1">
      <alignment vertical="center"/>
    </xf>
    <xf numFmtId="0" fontId="0" fillId="16" borderId="4" xfId="0" applyFont="1" applyFill="1" applyBorder="1" applyAlignment="1">
      <alignment vertical="center" textRotation="180"/>
    </xf>
    <xf numFmtId="0" fontId="0" fillId="32" borderId="4" xfId="0" applyFont="1" applyFill="1" applyBorder="1" applyAlignment="1">
      <alignment vertical="center"/>
    </xf>
    <xf numFmtId="168" fontId="0" fillId="0" borderId="3" xfId="0" applyNumberFormat="1" applyFont="1" applyBorder="1" applyAlignment="1">
      <alignment horizontal="center" vertical="center"/>
    </xf>
    <xf numFmtId="0" fontId="0" fillId="2" borderId="4" xfId="0" applyFont="1" applyFill="1" applyBorder="1" applyAlignment="1">
      <alignment vertical="center"/>
    </xf>
    <xf numFmtId="0" fontId="0" fillId="2" borderId="3" xfId="0" applyFont="1" applyFill="1" applyBorder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68" fontId="0" fillId="6" borderId="7" xfId="0" applyNumberFormat="1" applyFont="1" applyFill="1" applyBorder="1" applyAlignment="1">
      <alignment horizontal="center" vertical="center"/>
    </xf>
    <xf numFmtId="0" fontId="0" fillId="6" borderId="2" xfId="0" applyFont="1" applyFill="1" applyBorder="1" applyAlignment="1">
      <alignment vertical="center" textRotation="180"/>
    </xf>
    <xf numFmtId="0" fontId="0" fillId="0" borderId="0" xfId="0" applyFont="1" applyAlignment="1">
      <alignment horizontal="center" vertical="center" wrapText="1"/>
    </xf>
    <xf numFmtId="0" fontId="0" fillId="6" borderId="0" xfId="0" applyFont="1" applyFill="1" applyAlignment="1">
      <alignment vertical="center"/>
    </xf>
    <xf numFmtId="14" fontId="0" fillId="10" borderId="3" xfId="0" applyNumberFormat="1" applyFont="1" applyFill="1" applyBorder="1" applyAlignment="1">
      <alignment horizontal="center" vertical="center"/>
    </xf>
    <xf numFmtId="168" fontId="0" fillId="15" borderId="3" xfId="0" applyNumberFormat="1" applyFont="1" applyFill="1" applyBorder="1" applyAlignment="1">
      <alignment horizontal="center" vertical="center"/>
    </xf>
    <xf numFmtId="0" fontId="0" fillId="5" borderId="3" xfId="0" applyFont="1" applyFill="1" applyBorder="1" applyAlignment="1">
      <alignment vertical="center"/>
    </xf>
    <xf numFmtId="0" fontId="0" fillId="8" borderId="3" xfId="0" applyFont="1" applyFill="1" applyBorder="1" applyAlignment="1">
      <alignment vertical="center"/>
    </xf>
    <xf numFmtId="0" fontId="0" fillId="44" borderId="3" xfId="0" applyFont="1" applyFill="1" applyBorder="1" applyAlignment="1">
      <alignment vertical="center"/>
    </xf>
    <xf numFmtId="0" fontId="0" fillId="10" borderId="4" xfId="0" applyFont="1" applyFill="1" applyBorder="1" applyAlignment="1">
      <alignment vertical="center"/>
    </xf>
    <xf numFmtId="0" fontId="0" fillId="10" borderId="7" xfId="0" applyFont="1" applyFill="1" applyBorder="1" applyAlignment="1">
      <alignment vertical="center"/>
    </xf>
    <xf numFmtId="0" fontId="0" fillId="48" borderId="4" xfId="0" applyFont="1" applyFill="1" applyBorder="1" applyAlignment="1">
      <alignment horizontal="center" vertical="center"/>
    </xf>
    <xf numFmtId="0" fontId="0" fillId="48" borderId="7" xfId="0" applyFont="1" applyFill="1" applyBorder="1" applyAlignment="1">
      <alignment horizontal="center" vertical="center"/>
    </xf>
    <xf numFmtId="0" fontId="0" fillId="48" borderId="8" xfId="0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/>
    </xf>
    <xf numFmtId="0" fontId="0" fillId="7" borderId="8" xfId="0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center" wrapText="1"/>
    </xf>
    <xf numFmtId="0" fontId="0" fillId="6" borderId="5" xfId="0" applyFont="1" applyFill="1" applyBorder="1" applyAlignment="1">
      <alignment horizontal="center" vertical="center"/>
    </xf>
    <xf numFmtId="0" fontId="0" fillId="12" borderId="3" xfId="0" applyFont="1" applyFill="1" applyBorder="1" applyAlignment="1">
      <alignment vertical="center"/>
    </xf>
    <xf numFmtId="0" fontId="0" fillId="7" borderId="3" xfId="0" applyFont="1" applyFill="1" applyBorder="1" applyAlignment="1">
      <alignment horizontal="center" vertical="center" textRotation="180" wrapText="1"/>
    </xf>
    <xf numFmtId="0" fontId="0" fillId="17" borderId="3" xfId="0" applyFont="1" applyFill="1" applyBorder="1" applyAlignment="1">
      <alignment vertical="center"/>
    </xf>
    <xf numFmtId="0" fontId="0" fillId="10" borderId="8" xfId="0" applyFont="1" applyFill="1" applyBorder="1" applyAlignment="1">
      <alignment vertical="center"/>
    </xf>
    <xf numFmtId="0" fontId="0" fillId="32" borderId="3" xfId="0" applyFont="1" applyFill="1" applyBorder="1" applyAlignment="1">
      <alignment horizontal="left" vertical="center"/>
    </xf>
    <xf numFmtId="0" fontId="0" fillId="0" borderId="3" xfId="0" applyFont="1" applyBorder="1" applyAlignment="1">
      <alignment horizontal="left" vertical="center"/>
    </xf>
    <xf numFmtId="0" fontId="0" fillId="4" borderId="3" xfId="0" applyFont="1" applyFill="1" applyBorder="1" applyAlignment="1">
      <alignment vertical="center"/>
    </xf>
    <xf numFmtId="0" fontId="0" fillId="4" borderId="3" xfId="0" applyFont="1" applyFill="1" applyBorder="1" applyAlignment="1">
      <alignment vertical="center" wrapText="1"/>
    </xf>
    <xf numFmtId="0" fontId="0" fillId="46" borderId="3" xfId="0" applyFont="1" applyFill="1" applyBorder="1" applyAlignment="1">
      <alignment vertical="center"/>
    </xf>
    <xf numFmtId="0" fontId="0" fillId="51" borderId="3" xfId="0" applyFont="1" applyFill="1" applyBorder="1" applyAlignment="1">
      <alignment horizontal="center" vertical="center"/>
    </xf>
    <xf numFmtId="14" fontId="0" fillId="51" borderId="3" xfId="0" applyNumberFormat="1" applyFont="1" applyFill="1" applyBorder="1" applyAlignment="1">
      <alignment horizontal="center" vertical="center"/>
    </xf>
    <xf numFmtId="168" fontId="0" fillId="51" borderId="3" xfId="0" applyNumberFormat="1" applyFont="1" applyFill="1" applyBorder="1" applyAlignment="1">
      <alignment horizontal="center" vertical="center"/>
    </xf>
    <xf numFmtId="0" fontId="0" fillId="51" borderId="3" xfId="0" applyFont="1" applyFill="1" applyBorder="1" applyAlignment="1">
      <alignment vertical="center"/>
    </xf>
    <xf numFmtId="0" fontId="0" fillId="51" borderId="3" xfId="0" applyFont="1" applyFill="1" applyBorder="1" applyAlignment="1">
      <alignment horizontal="left" vertical="center"/>
    </xf>
    <xf numFmtId="0" fontId="0" fillId="51" borderId="0" xfId="0" applyFont="1" applyFill="1" applyAlignment="1">
      <alignment vertical="center"/>
    </xf>
    <xf numFmtId="0" fontId="0" fillId="0" borderId="3" xfId="0" applyFont="1" applyBorder="1" applyAlignment="1">
      <alignment vertical="center" wrapText="1"/>
    </xf>
    <xf numFmtId="0" fontId="0" fillId="4" borderId="3" xfId="0" applyFont="1" applyFill="1" applyBorder="1" applyAlignment="1">
      <alignment horizontal="center" vertical="center"/>
    </xf>
    <xf numFmtId="0" fontId="0" fillId="46" borderId="3" xfId="0" applyFont="1" applyFill="1" applyBorder="1" applyAlignment="1">
      <alignment horizontal="center" vertical="center"/>
    </xf>
    <xf numFmtId="0" fontId="0" fillId="46" borderId="3" xfId="0" applyFont="1" applyFill="1" applyBorder="1" applyAlignment="1">
      <alignment horizontal="center" vertical="center" wrapText="1"/>
    </xf>
    <xf numFmtId="0" fontId="0" fillId="31" borderId="3" xfId="0" applyFont="1" applyFill="1" applyBorder="1" applyAlignment="1">
      <alignment horizontal="left" vertical="center"/>
    </xf>
    <xf numFmtId="0" fontId="0" fillId="31" borderId="3" xfId="0" applyFont="1" applyFill="1" applyBorder="1" applyAlignment="1">
      <alignment horizontal="center" vertical="center"/>
    </xf>
    <xf numFmtId="0" fontId="0" fillId="5" borderId="3" xfId="0" applyFont="1" applyFill="1" applyBorder="1" applyAlignment="1">
      <alignment horizontal="center" vertical="center"/>
    </xf>
    <xf numFmtId="0" fontId="8" fillId="6" borderId="3" xfId="2" applyNumberFormat="1" applyFont="1" applyFill="1" applyBorder="1" applyAlignment="1">
      <alignment horizontal="left" vertical="center" wrapText="1"/>
    </xf>
    <xf numFmtId="0" fontId="8" fillId="6" borderId="3" xfId="2" applyNumberFormat="1" applyFont="1" applyFill="1" applyBorder="1" applyAlignment="1">
      <alignment horizontal="left" vertical="center"/>
    </xf>
    <xf numFmtId="15" fontId="51" fillId="0" borderId="3" xfId="0" applyNumberFormat="1" applyFont="1" applyBorder="1" applyAlignment="1">
      <alignment horizontal="center" vertical="center"/>
    </xf>
    <xf numFmtId="0" fontId="52" fillId="4" borderId="0" xfId="0" applyFont="1" applyFill="1" applyAlignment="1">
      <alignment horizontal="center" vertical="center"/>
    </xf>
    <xf numFmtId="0" fontId="51" fillId="46" borderId="3" xfId="0" applyFont="1" applyFill="1" applyBorder="1" applyAlignment="1">
      <alignment horizontal="center" vertical="center"/>
    </xf>
    <xf numFmtId="0" fontId="52" fillId="53" borderId="3" xfId="0" applyFont="1" applyFill="1" applyBorder="1" applyAlignment="1">
      <alignment horizontal="center" vertical="center"/>
    </xf>
    <xf numFmtId="0" fontId="52" fillId="54" borderId="3" xfId="0" applyFont="1" applyFill="1" applyBorder="1" applyAlignment="1">
      <alignment horizontal="center" vertical="center"/>
    </xf>
    <xf numFmtId="0" fontId="51" fillId="55" borderId="0" xfId="0" applyFont="1" applyFill="1" applyAlignment="1">
      <alignment horizontal="center" vertical="center"/>
    </xf>
    <xf numFmtId="0" fontId="51" fillId="56" borderId="0" xfId="0" applyFont="1" applyFill="1" applyAlignment="1">
      <alignment horizontal="center" vertical="center"/>
    </xf>
    <xf numFmtId="0" fontId="51" fillId="57" borderId="0" xfId="0" applyFont="1" applyFill="1" applyAlignment="1">
      <alignment horizontal="center" vertical="center"/>
    </xf>
    <xf numFmtId="0" fontId="51" fillId="53" borderId="0" xfId="0" applyFont="1" applyFill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51" fillId="3" borderId="0" xfId="0" applyFont="1" applyFill="1" applyAlignment="1">
      <alignment horizontal="center" vertical="center"/>
    </xf>
    <xf numFmtId="0" fontId="51" fillId="50" borderId="3" xfId="0" applyFont="1" applyFill="1" applyBorder="1" applyAlignment="1">
      <alignment horizontal="center" vertical="center"/>
    </xf>
    <xf numFmtId="0" fontId="51" fillId="58" borderId="0" xfId="0" applyFont="1" applyFill="1" applyAlignment="1">
      <alignment horizontal="center" vertical="center"/>
    </xf>
    <xf numFmtId="0" fontId="51" fillId="49" borderId="3" xfId="0" applyFont="1" applyFill="1" applyBorder="1" applyAlignment="1">
      <alignment horizontal="center" vertical="center"/>
    </xf>
    <xf numFmtId="0" fontId="51" fillId="59" borderId="3" xfId="0" applyFont="1" applyFill="1" applyBorder="1" applyAlignment="1">
      <alignment horizontal="center" vertical="center"/>
    </xf>
    <xf numFmtId="0" fontId="51" fillId="44" borderId="3" xfId="0" applyFont="1" applyFill="1" applyBorder="1" applyAlignment="1">
      <alignment horizontal="center" vertical="center"/>
    </xf>
    <xf numFmtId="0" fontId="51" fillId="2" borderId="3" xfId="0" applyFont="1" applyFill="1" applyBorder="1" applyAlignment="1">
      <alignment horizontal="center" vertical="center"/>
    </xf>
    <xf numFmtId="0" fontId="51" fillId="60" borderId="3" xfId="0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174" fontId="53" fillId="24" borderId="3" xfId="0" applyNumberFormat="1" applyFont="1" applyFill="1" applyBorder="1" applyAlignment="1">
      <alignment horizontal="center" vertical="center"/>
    </xf>
    <xf numFmtId="0" fontId="0" fillId="24" borderId="0" xfId="0" applyFill="1" applyAlignment="1">
      <alignment horizontal="center" vertical="center"/>
    </xf>
    <xf numFmtId="174" fontId="53" fillId="6" borderId="3" xfId="0" applyNumberFormat="1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174" fontId="53" fillId="0" borderId="3" xfId="0" applyNumberFormat="1" applyFont="1" applyBorder="1" applyAlignment="1">
      <alignment horizontal="center" vertical="center"/>
    </xf>
    <xf numFmtId="0" fontId="13" fillId="24" borderId="3" xfId="0" applyFont="1" applyFill="1" applyBorder="1" applyAlignment="1">
      <alignment horizontal="center" vertical="center"/>
    </xf>
    <xf numFmtId="0" fontId="13" fillId="61" borderId="3" xfId="0" applyFont="1" applyFill="1" applyBorder="1" applyAlignment="1">
      <alignment horizontal="center" vertical="center"/>
    </xf>
    <xf numFmtId="0" fontId="13" fillId="62" borderId="3" xfId="0" applyFont="1" applyFill="1" applyBorder="1" applyAlignment="1">
      <alignment horizontal="center" vertical="center"/>
    </xf>
    <xf numFmtId="0" fontId="0" fillId="30" borderId="3" xfId="0" applyFill="1" applyBorder="1" applyAlignment="1">
      <alignment horizontal="center" vertical="center"/>
    </xf>
    <xf numFmtId="174" fontId="53" fillId="53" borderId="3" xfId="0" applyNumberFormat="1" applyFont="1" applyFill="1" applyBorder="1" applyAlignment="1">
      <alignment horizontal="center" vertical="center"/>
    </xf>
    <xf numFmtId="0" fontId="0" fillId="53" borderId="0" xfId="0" applyFill="1" applyAlignment="1">
      <alignment horizontal="center" vertical="center"/>
    </xf>
    <xf numFmtId="0" fontId="0" fillId="24" borderId="3" xfId="0" applyFill="1" applyBorder="1" applyAlignment="1">
      <alignment horizontal="center" vertical="center"/>
    </xf>
    <xf numFmtId="0" fontId="0" fillId="53" borderId="3" xfId="0" applyFill="1" applyBorder="1" applyAlignment="1">
      <alignment horizontal="center" vertical="center"/>
    </xf>
    <xf numFmtId="0" fontId="6" fillId="31" borderId="3" xfId="0" applyFont="1" applyFill="1" applyBorder="1" applyAlignment="1">
      <alignment horizontal="center" vertical="center"/>
    </xf>
    <xf numFmtId="174" fontId="53" fillId="42" borderId="3" xfId="0" applyNumberFormat="1" applyFont="1" applyFill="1" applyBorder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52" fillId="53" borderId="0" xfId="0" applyFont="1" applyFill="1" applyAlignment="1">
      <alignment horizontal="center" vertical="center"/>
    </xf>
    <xf numFmtId="174" fontId="53" fillId="38" borderId="3" xfId="0" applyNumberFormat="1" applyFont="1" applyFill="1" applyBorder="1" applyAlignment="1">
      <alignment horizontal="center" vertical="center"/>
    </xf>
    <xf numFmtId="0" fontId="0" fillId="38" borderId="0" xfId="0" applyFill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6" fontId="0" fillId="24" borderId="3" xfId="0" applyNumberFormat="1" applyFill="1" applyBorder="1" applyAlignment="1">
      <alignment horizontal="center" vertical="center"/>
    </xf>
    <xf numFmtId="0" fontId="51" fillId="55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1" fillId="50" borderId="3" xfId="0" applyFont="1" applyFill="1" applyBorder="1" applyAlignment="1">
      <alignment horizontal="left" vertical="center"/>
    </xf>
    <xf numFmtId="0" fontId="51" fillId="58" borderId="0" xfId="0" applyFont="1" applyFill="1" applyAlignment="1">
      <alignment horizontal="left" vertical="center"/>
    </xf>
    <xf numFmtId="0" fontId="51" fillId="49" borderId="3" xfId="0" applyFont="1" applyFill="1" applyBorder="1" applyAlignment="1">
      <alignment horizontal="left" vertical="center"/>
    </xf>
    <xf numFmtId="0" fontId="53" fillId="0" borderId="0" xfId="0" applyFont="1" applyAlignment="1">
      <alignment horizontal="center" vertical="center"/>
    </xf>
  </cellXfs>
  <cellStyles count="8">
    <cellStyle name="Comma" xfId="2" builtinId="3"/>
    <cellStyle name="Comma 2" xfId="3" xr:uid="{C0AD2333-2AB7-4281-AAC4-D858CA8AD645}"/>
    <cellStyle name="Comma 3" xfId="5" xr:uid="{B9D4A1CC-21FD-45FD-81E9-E740C0918B49}"/>
    <cellStyle name="Currency" xfId="4" builtinId="4"/>
    <cellStyle name="Currency 2" xfId="6" xr:uid="{B0E2A740-D1DC-4A70-8761-7373828368CD}"/>
    <cellStyle name="Currency 3" xfId="7" xr:uid="{FCD32F93-D005-45FE-A8C6-924CA2E41DD5}"/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colors>
    <mruColors>
      <color rgb="FFFFFFCC"/>
      <color rgb="FF66FFCC"/>
      <color rgb="FFFFFF00"/>
      <color rgb="FF00FFFF"/>
      <color rgb="FFCCFF66"/>
      <color rgb="FF99FF66"/>
      <color rgb="FFCCFFFF"/>
      <color rgb="FFFFCCFF"/>
      <color rgb="FF4ABB0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4</xdr:row>
      <xdr:rowOff>0</xdr:rowOff>
    </xdr:from>
    <xdr:to>
      <xdr:col>98</xdr:col>
      <xdr:colOff>264018</xdr:colOff>
      <xdr:row>4</xdr:row>
      <xdr:rowOff>0</xdr:rowOff>
    </xdr:to>
    <xdr:sp macro="" textlink="">
      <xdr:nvSpPr>
        <xdr:cNvPr id="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8C2D5D6-B78E-480B-86DC-6E405303EE0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095500"/>
          <a:ext cx="593583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1081798-A5BC-424F-A002-F3045AAA6D6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DACA917-0909-43AB-A410-036D0D6A795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687AFD3-9E8F-4D77-8743-8786B1AF393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3F28D31-6842-4E8D-B569-60FCA6BD528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6208DF8-A504-4ED1-8052-26BFC5F6A46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D94154E-4D07-4C98-94EC-03B050258E1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8FA939E-1C89-4148-B812-641BFA658C5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BD206FF-593D-48BD-A8B2-811C92E1A45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66EC94E-1D14-4AD1-BF55-7EF50C876D7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1ED36FB-94CF-4310-8123-41F83123AA8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5AE8820-F846-4ECD-A877-6DAA21DF528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338526B-5A53-4FFE-8776-2E8E8998932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D848733-A934-4048-8558-721EA2F91B6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36454" cy="304800"/>
    <xdr:sp macro="" textlink="">
      <xdr:nvSpPr>
        <xdr:cNvPr id="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FBD554A-C0CF-463D-9839-2754BFF285D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F0AC7C7-BF07-4280-B776-17E2C0C33E7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43498" cy="304800"/>
    <xdr:sp macro="" textlink="">
      <xdr:nvSpPr>
        <xdr:cNvPr id="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E9A6444-119D-44DB-BC8C-257057164D7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C904CC9-7644-42A5-B35A-8DBACEF3928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36454" cy="304800"/>
    <xdr:sp macro="" textlink="">
      <xdr:nvSpPr>
        <xdr:cNvPr id="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39882EF-4F63-4D7D-A675-01DF22568EC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2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22306C0-5C4B-4446-A912-6C12F91DB34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2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1B7C7A0-B61E-4B2B-AAF8-6F8AAA8349B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23</xdr:col>
      <xdr:colOff>0</xdr:colOff>
      <xdr:row>4</xdr:row>
      <xdr:rowOff>0</xdr:rowOff>
    </xdr:from>
    <xdr:to>
      <xdr:col>98</xdr:col>
      <xdr:colOff>264018</xdr:colOff>
      <xdr:row>4</xdr:row>
      <xdr:rowOff>0</xdr:rowOff>
    </xdr:to>
    <xdr:sp macro="" textlink="">
      <xdr:nvSpPr>
        <xdr:cNvPr id="2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DE0573A-4120-4492-9528-8D83454CC8C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095500"/>
          <a:ext cx="593583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2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1E41DBB-EF1E-4924-8F85-3197BB2055A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36454" cy="304800"/>
    <xdr:sp macro="" textlink="">
      <xdr:nvSpPr>
        <xdr:cNvPr id="2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DB9831A-1535-40F2-AB11-D16C96F2CEA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2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4955563-E128-4C80-9CD3-7C3A8843B58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43498" cy="304800"/>
    <xdr:sp macro="" textlink="">
      <xdr:nvSpPr>
        <xdr:cNvPr id="2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FFBD66-B6F7-4FF4-A11C-240E903017A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2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EDC6FE6-CFFC-42F1-BC96-DA43E1D501B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36454" cy="304800"/>
    <xdr:sp macro="" textlink="">
      <xdr:nvSpPr>
        <xdr:cNvPr id="2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773F0F1-9402-45B3-A9A7-51E55AB4180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3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318B455-20D4-4850-BB44-34BEAA6DDBD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4</xdr:row>
      <xdr:rowOff>0</xdr:rowOff>
    </xdr:from>
    <xdr:ext cx="326089" cy="304800"/>
    <xdr:sp macro="" textlink="">
      <xdr:nvSpPr>
        <xdr:cNvPr id="3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D937AA1-B6A2-474A-9B29-FDAD7E9CD3F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3241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9156638-A3AC-43CC-B77F-DFF8DD983FA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766DA14-963F-4817-97E5-62586E7F163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E2E3406-A634-45E0-BD72-B267DD3296D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961A16D-5BF0-4346-B8C1-7CB2BBC6C53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E10D06F-F8C4-481C-8A0A-55142D65228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D5E1AE3-AFB9-4948-8DCA-BB409A7CF5E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08A3533-012A-4135-9E8E-87D7BC0B28B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3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268DB78-C438-41C9-9370-0C377196BE8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4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69CE06A-0FB0-4D26-8FEA-617D4FAF8A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4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438EA51-E38E-4750-B76D-B2FEFF26F3B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5B083F9-D7FA-4DCA-8F92-A5B7B5BD555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3A26445-5A23-48FF-B5DB-4E2EECA0CF9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BCF080B-B996-4F8D-A18A-B50FB56DEF8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85BF162-B339-4BC0-ABD2-3A639AD3909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A7E10FF-5ED2-48AD-93D8-2E1A98EDA98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7380F38-E56E-4DC5-AEF0-589CEBF1FF6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647C68-9EF1-434A-8C4C-DD1822172D3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4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E28B363-286F-4BF6-BAFD-1BA6B33B61D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5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49310E7-EDC8-43E0-9863-5EAD19EB7E0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5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0A2017F-67D8-4DD7-A9ED-BF9A8C93A4A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5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16E2643-E181-4AB7-9C3E-AD634545B88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5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B161F8A-2D61-443E-AE46-35D737C9FBE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5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3AA0EE4-8284-4CAF-915A-6705FE9FD20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5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057484A-8C0D-4485-84A4-1F1F666263D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5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2842762-505A-4D72-BB3B-F094C2F1BB7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43498" cy="304800"/>
    <xdr:sp macro="" textlink="">
      <xdr:nvSpPr>
        <xdr:cNvPr id="5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FF8745F-E798-4C23-9FCE-57D4AC402F5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5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FAABF53-D939-487B-B1F6-54250F96325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5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05268D9-C8F4-4887-92BD-DA4A1DAE2B0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6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7478CA-30A7-452D-8C2B-608B0055A8C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6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6CB9D1C-28E6-4FCD-A574-89FCD2D0A9E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23</xdr:col>
      <xdr:colOff>0</xdr:colOff>
      <xdr:row>36</xdr:row>
      <xdr:rowOff>0</xdr:rowOff>
    </xdr:from>
    <xdr:to>
      <xdr:col>98</xdr:col>
      <xdr:colOff>107170</xdr:colOff>
      <xdr:row>36</xdr:row>
      <xdr:rowOff>0</xdr:rowOff>
    </xdr:to>
    <xdr:sp macro="" textlink="">
      <xdr:nvSpPr>
        <xdr:cNvPr id="6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338753D-3D19-4538-B934-E4D42367D82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43038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6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DE51F69-E9C2-4B0B-8A4C-699CEC5F258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6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7288BBA-5E7D-4F3F-AB96-E91AC98D522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6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2C5D894-F491-41CA-894A-073DB97A38F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43498" cy="304800"/>
    <xdr:sp macro="" textlink="">
      <xdr:nvSpPr>
        <xdr:cNvPr id="6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81308F7-E767-4B4A-AEE8-97CE3F4518D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6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7634BB1-8116-4B51-90E3-8A084D251A5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6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AD4F2B5-89D1-480F-BFDA-0AB29A9E359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6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10EF61F-226F-4805-9674-99F6D702FE3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DEFD89F-872D-4745-AB4B-BF98A7DA687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8F0296C-31C8-43D1-884F-97B5654BED9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CC3330F-DDC9-4F9A-9E69-6BA9CC4917E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AD96D4E-D7FB-40BF-ABDF-C6B1B35D116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1ECFDAC-6865-43E9-90F8-3AA171359F5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DEAECFD-8574-4E9C-8DCF-3EFBE6EB5E9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E75F56F-A8B5-430E-84E0-112438210FA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EF78554-3C0F-401B-8E77-20F13AC1D8A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2D47BC7-F2AE-47FA-9E8D-AE12C427A16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7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1239568-7334-432A-89B2-4E586AFBB73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8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89F68EA-335E-48A5-B521-1C9ADA67B45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9424" cy="304800"/>
    <xdr:sp macro="" textlink="">
      <xdr:nvSpPr>
        <xdr:cNvPr id="8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604EEC5-324A-496E-B7FF-344C0EE49AA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8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298C80C-3495-40DF-A2BE-34612F0E189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8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9525DEE-12FA-485E-8AE5-C5C2601F4F2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8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D8384A1-EC68-4023-A451-5117564B4C3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8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466C88C-6F45-44D8-8F69-7DBB308F514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8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FB56975-AE43-4C5B-9A02-AC93DA3C981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8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FBEF1BA-FA05-4459-BB80-8B68E6CCD50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8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32BF237-9DB1-47AE-B46C-90989F2FE82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8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932520F-3A38-475B-94CE-14C14258E91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9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E9D0DE5-0E95-450C-884E-039AF64522F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9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0F49EB7-6BBC-4B60-A447-6B67C73457C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9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79AC11-E39C-4808-9770-A02F65FEB45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9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E46B817-6AC0-4584-AD99-8C9A0A0FC07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9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18999C8-0D4E-40DF-8359-4080CBAE512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9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C3B910F-C025-4599-868A-6FC417D30A9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9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D63AB54-24AB-4FA6-B3DA-B0B2B6902F3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43498" cy="304800"/>
    <xdr:sp macro="" textlink="">
      <xdr:nvSpPr>
        <xdr:cNvPr id="9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0D36A80-AB2F-4E5A-BA0C-E7F857CB5C4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9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26CAAFE-9AD0-49B8-A62D-06675ECBEE3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9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91D1115-EED3-406E-9509-2DCFDAC5C22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10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2B7212F-E0FB-4E09-8C92-B014B90D4C5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10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F5925C6-BEAE-4F0B-A9E3-A654FD9EE0C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9424" cy="304800"/>
    <xdr:sp macro="" textlink="">
      <xdr:nvSpPr>
        <xdr:cNvPr id="10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79509B7-FAA8-4362-9D79-F1460C16BC8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10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6116563-1E58-43A0-AFB3-7B3A1B688FA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10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2CB843D-AC8B-4386-92B2-C61CE713EBA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10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4E6A79C-17DD-469F-8D59-CAC7BB06D45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43498" cy="304800"/>
    <xdr:sp macro="" textlink="">
      <xdr:nvSpPr>
        <xdr:cNvPr id="10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C81EFDD-752D-47AE-A0BD-BAC54EEA999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10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7EEE021-16DE-4BD0-8B31-299244B0430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36454" cy="304800"/>
    <xdr:sp macro="" textlink="">
      <xdr:nvSpPr>
        <xdr:cNvPr id="10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BCBB79-2BE0-4D27-AB67-B3380B235A5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67</xdr:row>
      <xdr:rowOff>0</xdr:rowOff>
    </xdr:from>
    <xdr:ext cx="326089" cy="304800"/>
    <xdr:sp macro="" textlink="">
      <xdr:nvSpPr>
        <xdr:cNvPr id="10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BD90CA7-2F5B-43BE-A670-27DFC0C75C4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5271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75</xdr:col>
      <xdr:colOff>32657</xdr:colOff>
      <xdr:row>66</xdr:row>
      <xdr:rowOff>881742</xdr:rowOff>
    </xdr:from>
    <xdr:ext cx="326089" cy="304800"/>
    <xdr:sp macro="" textlink="">
      <xdr:nvSpPr>
        <xdr:cNvPr id="1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0D77F20-1D8A-48B2-9C48-74A57BCD365D}"/>
            </a:ext>
          </a:extLst>
        </xdr:cNvPr>
        <xdr:cNvSpPr>
          <a:spLocks noChangeAspect="1" noChangeArrowheads="1"/>
        </xdr:cNvSpPr>
      </xdr:nvSpPr>
      <xdr:spPr bwMode="auto">
        <a:xfrm>
          <a:off x="24540482" y="26513517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1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B17247F-614C-41F1-AA88-BBA606B6585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1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38DB7F7-8D01-4B26-BFC7-CDDC1F3A9E5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1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00FAAF1-FCC2-4F01-B473-F2DE6DA5421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1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1B679AF-AFCB-4C2E-8CAC-9D2EC8F3F76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1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C87B492-72D1-494D-BAC1-88DAC03F074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1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86ABDA0-A64D-4DE7-B506-E14726B28EF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1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2CC3A6A-52EB-419B-B48A-FF59E879B3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63668" cy="380998"/>
    <xdr:sp macro="" textlink="">
      <xdr:nvSpPr>
        <xdr:cNvPr id="1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F839740-A0EC-4C3F-9B2B-0647E224A79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63668" cy="3809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776082-35D3-4D14-81B1-D0698D2F1EB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AA3DF1D-97D5-4208-9466-E47126E1821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C40946A-EDB3-41CF-9CCA-3E456093218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B1EC54B-9AA6-4F14-A80B-8821069F39F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D9268F3-EFE4-4E23-9AA9-CBA879F747D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1F3A6EC-4186-4909-A678-C993D82B530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4854FC-3AF6-4FFC-85DD-655D5BD9206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933E6DD-3340-40A9-8CE1-4BD6E406249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E6C380C-597E-4E97-ABD6-1D1D3147054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6788B59-9B02-478E-9510-D285114925F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2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BD910B4-4804-426D-87D8-91F63826F37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3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D4C1305-C212-4892-9576-35E0C3BDEFB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3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95688AF-15BB-4BE5-9846-02201852A9A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3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03C8B23-DDFA-42D4-9F36-5FBAB86C7CE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3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6C79DFD-55E1-44DB-B31B-91B24375198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43498" cy="304800"/>
    <xdr:sp macro="" textlink="">
      <xdr:nvSpPr>
        <xdr:cNvPr id="13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1E3B2AF-75E7-4CCA-8194-68F1CB70C5D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3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13E8AD4-0E08-4A71-843D-2272A0F2E53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3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9E6F295-4D3D-4627-B634-2D9F0E08EFF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3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E1AC5E2-6874-4278-B93A-4A2FF72C081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3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D479324-1517-4F1A-9BEA-558137046B2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59866" cy="350510"/>
    <xdr:sp macro="" textlink="">
      <xdr:nvSpPr>
        <xdr:cNvPr id="13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E794893-002A-43B6-9030-6F516B15D69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59866" cy="350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4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FE6D4E1-3A92-49D0-8860-80D7F1E7A87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4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6FE55D6-035B-49DE-9172-0F945B7C8FD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4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42E3EE7-3611-4079-A484-67CFACBB819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43498" cy="304800"/>
    <xdr:sp macro="" textlink="">
      <xdr:nvSpPr>
        <xdr:cNvPr id="14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8CA8C89-CCF5-48FC-A242-10F31FFBC1D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4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C661EBC-4682-453B-80AA-DE70E57426A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4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CCD169D-B899-496E-9335-5FC0BFC5E33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4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7FC7D1-77AE-4620-8A6E-97B7BFCD075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4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07B284A-FE82-488F-B455-13097F4CAFA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4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5C014BF-8CF2-47A3-8829-4B865D60A0B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4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411C41A-B110-4A9E-A2A2-D4280F3408F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839A35A-8607-4F25-9F82-8711D186EF9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D580DEF-32D6-40A6-951F-F0AE5B013CB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5041F72-348A-4870-A154-FE33493BA2B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209979C-C88A-43D4-B4F6-1E46FE9E39A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F0E9249-977F-4B55-B01A-58C6ABEEE70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5803CC8-0F60-4A72-816B-79E6F64E293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B686FD3-056D-4B4D-A306-93A5861E054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AE084A0-30BF-4CC3-8612-924989131F9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9424" cy="304800"/>
    <xdr:sp macro="" textlink="">
      <xdr:nvSpPr>
        <xdr:cNvPr id="15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2DEB923-C912-4E44-9066-F513211531B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5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DF466F5-0C1B-41C2-AB95-1400DFF418C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6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36E1556-233D-4FB1-B5DA-18C0479E841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6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5CA9C82-45E8-4C62-A86B-E3BF484B7BD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43498" cy="304800"/>
    <xdr:sp macro="" textlink="">
      <xdr:nvSpPr>
        <xdr:cNvPr id="16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85C6145-D367-4DFF-90A5-FC5EDCA5B14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6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FF36065-B07D-43FB-9334-2477FED0AEC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6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B45A849-B1EC-4BB3-B40B-AB4649A7014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6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0C52B27-226A-4BD2-9F6E-C319F82751E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6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0988FA9-98A7-4B36-8AFC-2602D368952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9424" cy="304800"/>
    <xdr:sp macro="" textlink="">
      <xdr:nvSpPr>
        <xdr:cNvPr id="16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7F218D5-D3F8-4295-8B0D-74BABE3EE49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6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92CA0D2-391B-45EB-A524-041046C93DA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6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F892C31-5CB5-41F1-836D-0B621119CFB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7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CD7BB12-843A-419E-A1A3-8263E8C2B10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43498" cy="304800"/>
    <xdr:sp macro="" textlink="">
      <xdr:nvSpPr>
        <xdr:cNvPr id="17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DE1B752-1D98-4151-BFF7-F0703D51A74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7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E256B43-7414-4F65-82DD-2A103B8D687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36454" cy="304800"/>
    <xdr:sp macro="" textlink="">
      <xdr:nvSpPr>
        <xdr:cNvPr id="17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B503D5C-514B-4656-B8B9-67B4725870C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7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B23A043-1905-4E9C-B71A-8C523CE33C2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17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45158C9-A52B-4B49-BFAF-7CA7BA82253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7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AB369CA-49F3-4B0E-B231-B3AD7636022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7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C4D5B46-C28A-4D8A-B3ED-C50C0157107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7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B9DB36B-E433-42CA-922A-CBF19312A28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7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E9E7E1A-B667-4064-BFBB-61A093B0811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92D0B53-8748-4D4C-87EC-2ABF80066D0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B636799-BD8A-4100-B43D-5A30A7B0F59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17E470A-C4D7-4E65-9E83-96F27F1A82F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7A2D4C-36AB-466D-B6CF-C34824BFA62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6CAD6EB-BC4B-40A7-87F7-BD724E38E25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3E989D-1BC3-403B-AC9E-D041E8258BD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B0A4931-9B32-4A43-9383-5B522F5E954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C92E292-40BE-4DF2-8CB7-169C980DB8B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EDCCD6A-9F06-4478-BBBA-360B6FA2703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8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CD7B814-9DFF-40F0-A739-D8DE5522FEE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900AA73-1DFD-455D-971B-8E87E839363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E3A6AB9-2477-434B-AF63-EF956E81D3F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59FB856-85B0-471F-9C95-72215C7EC21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92EBA21-05C6-4737-BBBC-08B4A3A9C45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063EA14-F88A-4678-B89E-0784FD1F6FE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1DC46E7-3781-4481-B3CE-CABFD041C2D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D7157F1-AC90-4E7B-82E9-6CC04E310E4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2AE49C9-DBAC-40B4-BDFC-35933BD786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97BDA8-A125-40EB-9D98-809F978D6F6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19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D358AAB-EDAA-4801-A6C1-718084C6DB0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1ED7728-AF7C-4F8C-B919-C8BE69FB744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206FC50-AE24-468C-AA03-8C90956DB13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4166C2D-04C9-4C32-8570-F8B5D93ADC0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F3F3694-2370-47B5-A616-AD0D47961C8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507EAD8-38C2-4E23-9BCB-9F12DD7EAC5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D36BDE4-BF76-4A46-A451-65F0D8CB798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6A2B751-D3AE-4FB5-94E4-42AA9DA1012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5821A14-948B-48C0-8DAB-D9E1D8F540C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4270F88-F70A-49B2-AA00-AF5513A7D22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0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505AFBA-B725-4880-B35E-92EBA3AF646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3BFF38A-E5F9-42D7-8DC9-1CEACFDFF70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F30C3B0-6B06-4877-9E1D-10F8FD61012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1CB5A61-789A-4B8E-98CF-0F643C41267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CEA5796-34B2-45BF-9A95-114D8D285B4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55BC64-78A6-40E5-A99F-F3A3C77BB55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44E280A-02AA-42F3-9A8C-78DE649E509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CB48D31-01A2-49AA-B149-E1E0F30A1C4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528F962-AB39-4639-ABA2-C624DC9F3A2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9701BBC-7A0C-478C-94BB-2D7B4C7B3E5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554B864-A601-4F3E-803C-C38CE99AFBA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E583B9B-A0B8-4366-B71B-2AB8C0C8F16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619E28F-B0CD-4E27-ADF5-DD9D4AF04E1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493D3A2-B5E1-45BA-9166-B2B9BA2825D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72A9284-2C51-4036-8319-BBC617DC1A3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C56B00A-6CBA-4A7E-9F8D-7BF3D2EB0FC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F461EFC-5791-41A9-A3C0-BB9EBC70606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215E1F2-B866-4D62-A3C7-D8EFBDA2A26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83EAA1B-FBBD-4716-A436-F63B27A6BCD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887B36C-5720-4C3F-B65B-BCDF43E68DE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2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940D357-4984-4710-945E-564654D8AAC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8379E55-7BCB-4969-A134-1624F1F21D6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5E9366E-5007-4465-88A0-0B92083A398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9E202CB-400A-4BD2-83C8-17AF26592A9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D488FF5-BEFE-4C74-87FF-83DD1607C62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7E18A4A-742B-405E-850B-394A4D05B3F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333904-6ABF-4834-89F4-E6068251070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199A93D-7C7D-426E-AD6E-1360797CA86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185C282-A2D3-4C15-BCA6-9F0F1C52465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326089" cy="304800"/>
    <xdr:sp macro="" textlink="">
      <xdr:nvSpPr>
        <xdr:cNvPr id="23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2338EB7-8ADA-4C3A-99BF-06335DD7FF6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76775" cy="365744"/>
    <xdr:sp macro="" textlink="">
      <xdr:nvSpPr>
        <xdr:cNvPr id="23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17ACB37-C009-4D22-A6CD-2B5854E75BA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76775" cy="365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877256E-543C-4298-89F2-B15EA03BEA5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1570170-D279-40C5-BB84-94AE378FC20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F0B052E-D0DA-4E04-9A2E-1486679D75F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41331AD-4C1E-46C2-9BEA-B0EDA4EC5F7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E51154B-0EC4-4D42-8802-F6D99F024E8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6468A50-6114-41E7-A373-4B5EC2D1CDA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0FF0615-E8F2-4CD6-A949-739C059D6C1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1FBCBA-73E4-4F79-A454-A9ADA71852E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37A798F-B299-4699-BDDB-B3C3BFF6ABC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4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4AE298-AD86-473D-A08E-2BA63A2CE75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8248DCE-A9A5-4FD6-A22C-682C463474F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B4B1B80-D5B0-4F40-BF82-7A59D655AC7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BF5E0D1-9A07-49F2-B3C6-F8AA8D0DE64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0216E73-FB35-4513-9E80-D8F52047D33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7917162-263C-43E5-8928-631C518DC98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77E287F-A986-4323-922F-4D020BF1B60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59E164-A269-44DC-AA32-C459B98988C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C2A87F0-EE2E-45E3-8015-AE78A4660FF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73</xdr:row>
      <xdr:rowOff>0</xdr:rowOff>
    </xdr:from>
    <xdr:ext cx="326089" cy="304800"/>
    <xdr:sp macro="" textlink="">
      <xdr:nvSpPr>
        <xdr:cNvPr id="25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A5DA426-1D43-45FE-B73E-CF8DBBC49AF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81844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76775" cy="361934"/>
    <xdr:sp macro="" textlink="">
      <xdr:nvSpPr>
        <xdr:cNvPr id="25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EB0C2B7-F017-4681-B5B9-8CD76F64DBA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76775" cy="36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9AB1D3A-B961-44D2-A36F-EF3220A4216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8ACA6A2-A777-4314-BB6C-918EEC7748A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0FE3D9A-0A0E-42C7-B925-F17E47CA856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03D6A3-F85E-4B0F-9416-CD7C2C6CE30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BD7E933-EADE-460C-A701-329E3E092D3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87D33B3-71B4-4612-8EB0-204CAFAF65F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D70CD8C-FC2A-41B4-AC7A-60C6B996952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1A8FA2C-A8F9-4944-B8C6-2C2F956121C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119579E-4662-44BD-AB3E-C465B471B12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6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8678980-6B15-4873-ABCA-AC8408628A7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698BCCF-A95B-4ACC-9AFC-B582D3DA184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A6A993A-0599-4EEA-AD33-8BF28D94E2F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49A2F82-F6BE-4EAE-A0A2-5276EC49A6F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804B31C-AD89-466E-ABAE-9A948105264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2C9D974-0A28-4DA7-A9A4-2D0DB2EB552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4DA28F-F0CA-4CA0-9FCF-6CF6E855CB1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841F309-D9E4-42F1-9743-126352EEC2C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998834C-ADD9-4DD6-9B1D-D1E70819486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7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A137EF4-F2B0-444D-9A29-1AB1C6A074F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76775" cy="365744"/>
    <xdr:sp macro="" textlink="">
      <xdr:nvSpPr>
        <xdr:cNvPr id="27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4EDDC94-F7E3-4449-B4F3-DC25C6FB35C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76775" cy="365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923A784-605D-440D-AB0A-2855A9A3F20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5566083-E362-44C9-9651-F968F091857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8A5F637-CC81-4868-8875-35366798DB3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6F95010-D0A2-47E7-8B32-2FD4C2B4D55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A015E75-A08A-4F5A-AAC2-760F51307B6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0130066-A248-4158-A803-DB81B176082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CA2112E-F5B0-4CAE-9133-356EDD643D2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2DD833C-8CD1-40F1-B7CE-FE60E4176D8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3E91A1-33DE-4412-9951-33337669318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8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38E077D-4647-41D3-956E-9EB67EEBCF5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EA533BB-7860-4DA9-82DE-AFEFA9BF064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8E08593-8DF9-437E-821B-E52AFC3465A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8501D1C-1677-48A3-95F9-280CA8FDCA4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D02F599-F7AB-42BD-9E68-A739FA27E6E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8A14828-951D-4C5B-A9FB-2F5B38D19F6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82E0EF8-C772-48FD-BFFE-15E421862EF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5F1D8CE-E278-40DF-8034-8CDF99E3DEC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136E48E-5122-4EC3-B395-6466E68364E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26089" cy="304800"/>
    <xdr:sp macro="" textlink="">
      <xdr:nvSpPr>
        <xdr:cNvPr id="29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164DFA3-C918-4DD5-9282-60328859061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76775" cy="361934"/>
    <xdr:sp macro="" textlink="">
      <xdr:nvSpPr>
        <xdr:cNvPr id="29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81D3152-D7F6-45C7-B5D0-A28E03647B2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76775" cy="36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178</xdr:row>
      <xdr:rowOff>0</xdr:rowOff>
    </xdr:from>
    <xdr:ext cx="376775" cy="365744"/>
    <xdr:sp macro="" textlink="">
      <xdr:nvSpPr>
        <xdr:cNvPr id="30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0CE07EB-9E49-48AF-B988-A2FB8FD46A6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6358175"/>
          <a:ext cx="376775" cy="365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63668" cy="380998"/>
    <xdr:sp macro="" textlink="">
      <xdr:nvSpPr>
        <xdr:cNvPr id="30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901CA3B-5983-4309-A0B3-490EC0CD6A6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63668" cy="3809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982816F-4556-406B-AD3F-6747476F12C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410DCE9-40E6-4AA4-9CFE-9ECA76FCEAE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66230B8-E24B-4FE3-8457-DE2C2925DEC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3E5B8FF-FA2A-42AB-8914-22C75B07EDA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5FA245A-DF65-4DFC-80B3-46C54CC1BCE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CF5D63F-9581-4078-B1DF-14CF90CF5E7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E7E409-5AF4-47BD-94D9-3BFFAFA6581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0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6D6DB3A-64D4-4533-B2F4-67F8C2693AE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C20596D-EB35-4903-89A2-A34A76562FD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66569CA-2119-4FF5-9A06-C8E543FB153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A691D25-805E-4F07-86B6-47303FFC00C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AB99D4E-EF42-44A3-9D9C-B6DFFFB89E1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B5231E-4162-4661-A3CD-86C8BE1E961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2470911-E9A5-4993-B173-B90D157D880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8EA9937-3EDE-41F5-AD2A-36D809BE27F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3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48AF1F0-9A33-4011-83EF-D778C9EDFEA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DDFF014-8EFA-434D-AADD-7709BEDB25D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A56B763-06A1-4652-B94A-85213A0574F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BE94C6D-A78C-4DFA-899E-8303725E42C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2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E40B64F-3868-4535-9F7B-CFAE14EA35D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59866" cy="350510"/>
    <xdr:sp macro="" textlink="">
      <xdr:nvSpPr>
        <xdr:cNvPr id="32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4863E59-6A13-405C-9DCB-813F1BED38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59866" cy="350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2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747157-C071-49F9-AE35-63A8FEA2C65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2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68EEF28-A075-4765-A097-2E25607AB2C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2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2A7A830-0187-4EBC-A530-6D147736872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32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79FA75E-C78D-406E-9F79-3CD2AC44B9E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2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A02F6A9-8872-4A2E-9859-5CD13EDE420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2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71B3C6A-E5FD-4230-A40C-85F6BAFA97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2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AF2C057-197C-4E67-AE60-2C09A912688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AE611E5-4F50-4840-B165-BBD4F4E8C6F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98D02C0-9771-4F50-B778-6F54E8D6607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73DD0B6-8A55-4C64-8AE7-E1A0EFD9BE1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F0A8F9C-D72D-4B97-B811-9B5D9AFDDB1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1151EE1-7C98-4F18-A7D6-21E274E71E7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15AB13-BCEF-4F18-8294-04361A4A331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29B85D6-C430-4809-BD65-3B2FE5B84DC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6C63AF4-75DC-459D-98A0-AB1B8F1D006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8D0C433-63C3-4C4A-93C2-70A5CEAF424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3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A58A3B0-6733-4C4C-A6A9-6E30FA048CD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4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AD9F5AD-3E2C-496E-A281-A057D887F9E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34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4F94EDB-2F99-4052-8413-2B1644926A9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4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DC13257-FE51-4210-9DFB-8E23B8DBE8E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4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EC3E9C2-3AE1-4878-82C3-CA98427D15C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4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FE026DD-C459-49F3-A393-746F824D7A1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34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D037099-C89B-4BC1-A797-B46BCDD67C3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4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D70FD09-390A-4A94-BBBB-BF0B3A0037B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4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ACE091A-93BA-4E50-BEDD-84C1D74A4E8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4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EDE5D7F-1F84-4DA5-87ED-E4293DC2184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4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EE3156B-D672-48D1-80A7-80AAE892D7A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35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E7A1434-DE64-447E-866A-1097122C3FE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5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C9E3A31-60CA-4714-AE87-6940573D89F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5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7A7347D-05F4-487F-929A-62CA087EE56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5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4692715-670A-424A-87BD-92F4985B3DD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35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4FAA64D-BD1F-440A-A49E-7BAE7F83D9A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5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471E256-6220-4E6A-8696-F2F04E65D54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35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264F693-927F-4EA1-82FD-53A41F8DEDE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5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5E8A4A7-2621-43DE-B06A-EE3B2FE551E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35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A434AC6-51AF-4764-B94B-D9E66093AE2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76775" cy="361934"/>
    <xdr:sp macro="" textlink="">
      <xdr:nvSpPr>
        <xdr:cNvPr id="35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24222BE-4915-4578-8572-30EA7FBDDF3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76775" cy="36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6B81F21-C6BE-4C53-A93C-EAC5068BDC9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29CC4A8-75DC-49BA-AA54-B7E9705D5DC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BF6DCEE-96D1-418E-84ED-97C35A18900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AB9CA09-E28B-47A7-AE31-C38E59633AE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978F3A7-5C7D-467F-929C-0A6CA447475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59DE1BB-488E-4652-B2EF-9F0D9AEA8BC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2F92903-91FF-4AFC-A4C8-5C8BBB276EF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0208F66-706E-41C2-8A03-38200A46D7D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632C130-B1F9-4B30-8262-19343296A48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6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4F7A84F-254E-4849-B0C6-7AFBE84B337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FDB0215-899F-48CF-8F8E-06D57B5F0D2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163E846-3DBA-4893-8E1D-34096098C57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398CA40-F906-4BE5-9CFF-29661FA2E71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6D6737A-CD4A-4568-A9F5-E665C8D1BEE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33D2F0-C1BE-44F4-A72F-E6841A6E073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16C609A-1859-44C6-8CA5-B598C9010E4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E701325-DDE1-491B-9ABB-56CF7F5ED44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D4421D1-4F0E-4EC7-881F-33BA1F311C7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7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4C75503-65A4-4DC6-875D-1E54D2FC420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76775" cy="365744"/>
    <xdr:sp macro="" textlink="">
      <xdr:nvSpPr>
        <xdr:cNvPr id="37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68B8FD5-0E73-4845-A692-3BC261875A9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76775" cy="365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A09DA1F-ABAC-43E0-BDCA-671452B39E3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208E056-2012-43B3-AEAC-824B5D539C0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75C171C-0BFC-45F7-BA51-AD68CAAA6B5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2E14ECD-F379-41B3-8B4B-9E617EBDDDF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6CC0D44-0EF6-4BDB-8B38-5CABF3D8FF7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215A7D0-FCC7-41ED-BFC8-242F649A58D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CCEC5A1-1FCB-494E-9218-20A82E2193C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E629DC4-B045-4AEF-9676-C0D2C3A8CDC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657D061-5300-4980-A698-A0136799724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8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D7BBB9A-1A52-4E3F-B29D-435F040A757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337601C-A3D8-420E-ABC3-FB405E3AC18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73F2CFC-74A5-41B2-BD6D-878F0D430E4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C9D47DB-C975-4D1D-9CA6-20ABEFC3F51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5FD04DC-1693-4157-A76F-8C604F2809B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CD8DD22-1B19-4CA2-944E-2CDD1147D59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05DD50E-AFF6-46EA-8D2E-5AB6F220FCC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58A08F5-7254-4FEB-A682-3C55368F031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1C2433-3BE9-47BB-8C49-B4571EE7624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39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7E5D789-8642-47F0-94D3-A6EF007E9DB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55</xdr:col>
      <xdr:colOff>37011</xdr:colOff>
      <xdr:row>181</xdr:row>
      <xdr:rowOff>171179</xdr:rowOff>
    </xdr:from>
    <xdr:ext cx="376775" cy="361934"/>
    <xdr:sp macro="" textlink="">
      <xdr:nvSpPr>
        <xdr:cNvPr id="39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8ED1580-A02E-47E7-8CCD-940BA032B71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76775" cy="36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1470066</xdr:colOff>
      <xdr:row>178</xdr:row>
      <xdr:rowOff>0</xdr:rowOff>
    </xdr:from>
    <xdr:ext cx="326089" cy="304800"/>
    <xdr:sp macro="" textlink="">
      <xdr:nvSpPr>
        <xdr:cNvPr id="40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6AB18D3-1AB9-4A03-B0E2-35C3A0B5A99B}"/>
            </a:ext>
          </a:extLst>
        </xdr:cNvPr>
        <xdr:cNvSpPr>
          <a:spLocks noChangeAspect="1" noChangeArrowheads="1"/>
        </xdr:cNvSpPr>
      </xdr:nvSpPr>
      <xdr:spPr bwMode="auto">
        <a:xfrm>
          <a:off x="24511041" y="463581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1470066</xdr:colOff>
      <xdr:row>186</xdr:row>
      <xdr:rowOff>0</xdr:rowOff>
    </xdr:from>
    <xdr:ext cx="326089" cy="304800"/>
    <xdr:sp macro="" textlink="">
      <xdr:nvSpPr>
        <xdr:cNvPr id="40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97D3607-384A-496D-B41C-D017DB9A47D9}"/>
            </a:ext>
          </a:extLst>
        </xdr:cNvPr>
        <xdr:cNvSpPr>
          <a:spLocks noChangeAspect="1" noChangeArrowheads="1"/>
        </xdr:cNvSpPr>
      </xdr:nvSpPr>
      <xdr:spPr bwMode="auto">
        <a:xfrm>
          <a:off x="24511041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0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D25A91D-A44D-442D-ABFA-C1A8131513C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36454" cy="304800"/>
    <xdr:sp macro="" textlink="">
      <xdr:nvSpPr>
        <xdr:cNvPr id="40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2D11913-33E2-402B-9208-786252185C5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0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B15FF49-F9E8-491D-98EB-8B30A5429B4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43498" cy="304800"/>
    <xdr:sp macro="" textlink="">
      <xdr:nvSpPr>
        <xdr:cNvPr id="40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244ABF6-0741-4113-834A-88AE0FE51E9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0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88C1FC4-919E-40E3-B021-9460B6BCD85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36454" cy="304800"/>
    <xdr:sp macro="" textlink="">
      <xdr:nvSpPr>
        <xdr:cNvPr id="40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AC81A3B-8670-4C46-BB9F-E8F1A32F070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0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CE94E0A-8766-40CC-868D-64B6C198CA7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0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4FF5344-1F1D-4722-8865-BB4A7B148E1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BE41416-7DA3-426E-A1BB-48AD677B3A3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36454" cy="304800"/>
    <xdr:sp macro="" textlink="">
      <xdr:nvSpPr>
        <xdr:cNvPr id="4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727405-45B9-4519-9C4E-D1D15136D93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5AE2157-63DE-4BD2-87FA-51ACB920041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43498" cy="304800"/>
    <xdr:sp macro="" textlink="">
      <xdr:nvSpPr>
        <xdr:cNvPr id="4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49CD2A7-C98B-4372-8B18-778FB7527AA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D6A904B-C464-419D-A7F3-CB23D4A1213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36454" cy="304800"/>
    <xdr:sp macro="" textlink="">
      <xdr:nvSpPr>
        <xdr:cNvPr id="4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2E9D1AB-9476-499B-8B04-07C05501780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49B2897-415A-4281-A415-6E18F03F8AA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11</xdr:row>
      <xdr:rowOff>0</xdr:rowOff>
    </xdr:from>
    <xdr:ext cx="326089" cy="304800"/>
    <xdr:sp macro="" textlink="">
      <xdr:nvSpPr>
        <xdr:cNvPr id="4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0F22EF9-061C-4A64-BB81-5F4AD7EB26D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268605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07BCEDE-CCDB-4F5E-B3E9-D9630A7B679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E5E96D9-3BBB-4878-B422-3F34196F6BE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357EB84-1781-4527-9C97-5821ADBF4AF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688DF96-CC00-4EC1-96B0-C6C7A9874F4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9C94ADD-62B9-476C-B52F-7812A0C9C4D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B4FD5D0-7C04-476E-B14D-E8F3E7C86CD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7A265FF-6E45-4E0A-9F34-50291BA1508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1DC1D37-344F-4F9E-ABF3-4C523B867F0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0562BD3-88EF-4653-AD7E-1BF2C7FA3AB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D5B4C9B-EEF0-43E3-9343-FACD1E8C71A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DD6643C-4AE9-4846-89BE-AA49792DAE4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2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8506533-BF44-4B3A-8FCD-3E6D6507480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A8EA8D3-BB93-4DC3-BF76-12AC9F85BC1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B07952-2620-49E2-A1CD-291105A1FC1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A44161A-7DAE-433C-AA25-176B0BF8D85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4E622A4-F062-42E8-861C-A05DD042E6D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56E8E76-4B85-456D-AFA3-3342AF92F37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9E21322-7929-4F50-A31D-10A2DC883AF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55AA18D-3201-4512-A918-5BF559FC231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74C6D34-CD1F-49D8-A106-58205593003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8367926-CF26-47A7-8DFB-B03EE309BD8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3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A906612-76E4-4D28-A6E0-4EC2C44A61E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2B6872-BD94-4141-BCD9-A6730DC5D7F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5E92A5-D970-4641-96B5-4E938563758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0D90D12-18E0-4E07-A6FC-A30EE7C7769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57DB669-8A6B-41D7-9365-18E10304A2A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D5B875-FFF2-47C9-8E0D-39DB10DADBA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00336C9-FA7E-4629-815C-505B12CEDDB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56621DE-105B-4825-A413-4DAEB31C5D3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1372E77-AEDA-44F6-B568-DA26B60B841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2AFF4E4-99E0-4DDF-A7AF-5D742B2081D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4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CAB1797-72CE-448A-A224-11AF43A5F1B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A69F217-B76B-4023-ABBE-628A32E95BD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770B49B-5826-4A9F-AD79-CDA89EFC32A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3415ACA-F2D6-472C-8AD3-8DF2C6E3ED4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7D85839-9D57-4F7D-BC75-DBA304DC910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53875E3-0299-4856-BCD5-320F06793AE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D306C25-FA5A-4E4B-A073-657DB54BD99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B252E7C-803F-4C94-A860-38F5B37494B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081DE5D-B9FA-48D0-8026-69996191B8D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7D19883-DAAF-4ABB-8F0A-43E59203CAD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5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8C433D6-2C3B-4ECC-8DFD-4671CCA58AD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8B4E31C-AE31-4448-9CE9-2FB07D579C5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EEDE90F-9182-48E9-B6D1-3C7777AE50A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3C1F636-39D1-423E-B951-E3AD79B58C6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BEAFA4E-94F4-415B-9869-97843D6D765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AFAEBE9-8D23-4096-AE8D-48302CBEDCC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A38C7C0-8FB8-49DD-9DE0-E93F27BCB45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BBC7955-234B-41A5-B0B6-4317DF629CB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E86D2B3-73E3-477A-B6CA-E9A7C3DCD7B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3C4C049-D5DD-4375-BAC8-3F6FF108C91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6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E334349-2A16-4548-9AD3-43CE9F77868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C707FE0-39B5-4782-A14D-F9699E5FE7E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360A22D-1C58-45D8-95D1-830F5C274E2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376DF13-3A4F-4631-8C28-A6B187E8F57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BA58ADF-3B57-4E72-A757-FE0AE87DF03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2D80DA-D6D5-45DC-B4AE-62520EB6167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5733D9F-94E5-4771-9002-AC3422F9C06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2659203-338B-48DD-A16B-D05353102A8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4FC6554-91B7-4629-9A2D-E8F7473A637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05F4951-C9C9-4CB6-8816-B5AAC38D880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7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4FCC7B8-5577-4FA6-B7F4-E27638AA4E8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E0A6ECA-F265-452B-862D-69338A8F64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7D4423A-C095-4A8D-A1E4-63233C7B8CC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7C8119A-EF93-486E-B416-677EB7E11C0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E37CF5A-2AFE-49AA-9EDF-904F660E794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0BDB3FC-9E63-4A8A-A881-F74FE8AF8BE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BD51D64-9FE1-404B-95D0-46A2DEAB842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73D6996-02E5-43C1-88E5-32C1D580779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7CC3B16-98FE-46F2-9806-BE006E76A91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ABADD11-8092-45EB-8898-4D7D20466DB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8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37DBD2B-EC7F-42DB-B893-4E4917BD539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081E89E-9E53-43C8-BCF0-44E17BF8AB4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9A0E422-1206-49BD-8610-74BB0B32F86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72211CC-4B67-49B8-A680-477432A119F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B196595-442C-435A-BA65-FCB22B7AE4C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83C3676-197D-4B62-AAA9-1A5FFC06A8A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3E8E5D0-1B71-4154-8F37-6B2D5021168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E26F86A-25F2-4BBB-B578-7F3885D27C0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D99C046-4F80-43E9-A592-4665573CB79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241E4C3-B889-446C-82F9-7B441B144C8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49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9C826A3-ED13-4A55-BF8C-E8F94E52981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50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491DE75-3C11-4721-96AF-F4F30D98041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50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E24437E-13A3-41E0-8163-AA9F762F2DC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37</xdr:row>
      <xdr:rowOff>0</xdr:rowOff>
    </xdr:from>
    <xdr:ext cx="326089" cy="304800"/>
    <xdr:sp macro="" textlink="">
      <xdr:nvSpPr>
        <xdr:cNvPr id="50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C72B3D4-6690-41C0-85C8-0B944DB6ACB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12001500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63668" cy="380998"/>
    <xdr:sp macro="" textlink="">
      <xdr:nvSpPr>
        <xdr:cNvPr id="50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EF4E9A4-0FF1-47BA-A21C-B9CF1360030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63668" cy="3809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0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50D0713-43EC-48A2-A08D-0E766E0DD45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0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E534BBB-38A9-435C-B95C-150B5C51C1F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0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330CBBA-E867-4E86-A5A0-F47C24233CA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0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31BEF69-C36E-4C47-A582-9624BF68C45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0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6816444-B156-4919-A30B-2440E4AB9CC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0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C495C25-1B5C-4DD3-A948-8EFDF9F228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9AC3392-D182-40AD-819C-51686D1C840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E3AC49F-D3F9-44DF-BDA6-EE94992DB61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5AAE0C0-E668-4BC4-AF24-ABFA5B8784C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D9A33EF-F927-4CA1-8C40-4408007EA72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36D95A7-5383-4877-B66E-5E84E00552C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F4E1966-DFE2-4C04-B8F6-0A8E30A0BB6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FFEA7B9-7ADD-40EE-96B3-F26B8497539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0E10D9F-3BEF-4E05-92FA-45C1AFE9847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1AF22E1-EE84-412C-A04B-44DA5A48C9C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5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212A3A9-DADC-4395-BACB-D018461FE38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C24D89-08F7-4EDE-ADCD-99056D0EF37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2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2BFC2B7-E1D6-47F9-9E22-7A2620065A6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2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5B01090-4B4E-4FFD-9A0C-362515A95DC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2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B625460-206E-4ED6-A0F1-9FC23B428B6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59866" cy="350510"/>
    <xdr:sp macro="" textlink="">
      <xdr:nvSpPr>
        <xdr:cNvPr id="52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E8847E0-EA5A-43F5-918C-429408249E3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59866" cy="350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2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68D9A9-020B-459C-89FC-34C557440A4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2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2C900D9-BA1A-40A6-8D62-114FE33433E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2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114D4A1-51A3-49A2-B16F-7504AE1B0FF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52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E6BF4B1-35FA-472E-B4C5-FD257BCEE05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2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FF5341-E4DD-4EF7-9975-F80495437DA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3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47768BA-9069-4354-8B2C-44EC0279EB6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0EDED6A-DF13-425A-9340-88866A3785B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D4D8CA5-895D-43FE-8E61-93BA635D80B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96284CA-1E23-487C-A085-BBFA2AA59D2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15ED9F8-24BA-472B-A5B4-9B4DAE092E9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D3C395C-8552-45EF-959E-03812A03ABA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82E2422-AF63-49D7-8335-C59900487E3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0841919-5AC5-467D-8118-4689C3A8CC8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F9BDF35-149A-4175-999D-B81426E9B9E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3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CE493CC-2D17-411D-A5FB-682A0083308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4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802438B-4837-46DF-BB25-550941AA2C6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4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B359DC2-FC6A-445A-B64F-31FF4993A61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4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7BFBAFD-D968-4B3B-8A1B-4B5ADE769BB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54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091C2CE-EF09-40E5-932B-F6FDF32549F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4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A408022-9BEE-41EB-BD92-02C9BBFD41B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4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F662218-F6BC-41F4-A39E-F511658C61D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4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17162FD-06F4-461F-9298-A1E68BF86B2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54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D236629-E861-4D79-90F4-60B62B33DAF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4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B59BB2C-4A09-40B6-92DD-ECBF4C8F019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4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E320C0E-7ABE-436B-9F97-75DA5516A66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5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A75C2A9-97F0-4C40-90FF-E67895FB5BB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5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6365DF1-D82F-4F1C-804A-7CF4DDEF871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55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E1EA7FD-614D-4509-99CC-1423977106F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5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A680D37-4789-4C43-8A62-821FE62FF76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5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873C847-F56A-49D9-8122-D7DC9643EFC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5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7363E63-651B-4362-A336-36E5822450B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55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77FD087-8186-47BD-9FC0-31D9B8C1D83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5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F22F368-9772-48B4-BBAF-6858609542B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55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B0DA9BC-7A74-4A0B-88E8-68F7DD57660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5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817A57A-2302-4253-A93B-46A4692871B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56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BBA48ED-BB45-4E6E-9A6A-103DC9385B9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76775" cy="361934"/>
    <xdr:sp macro="" textlink="">
      <xdr:nvSpPr>
        <xdr:cNvPr id="56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2A9CEB8-5CB3-4F1B-926F-3E3F8E44E26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76775" cy="36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2FBE3FB-7CF8-49CD-A29F-CE65D918E4F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316574E-8347-4A16-A385-376B832533B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D10AC3-D32F-4E76-B1DD-81F32540A5F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6CAFA19-8AD6-4203-B516-1BB6CDCEB7C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4B3E26A-81EB-4183-997B-7892C2EF1A4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B4D5A00-123F-4962-9EA4-EA325E7A6E2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5043D5D-AE11-45D0-9D65-A4F2D6C845A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6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16DBAF4-EE1C-4EF4-9780-36AFAE4C947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4CF02F1-0486-41C9-800A-F9A78D16C58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7B3EF76-401C-4940-83C7-B728CDDD6D9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4333A03-848A-4A2A-B486-DA3F8965ECF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762FDA4-D5C0-401F-AB9A-D493F567249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6FA2BB9-9417-4024-B9A2-A6F356D5D1E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FEC7369-B50D-4F48-9AB6-85CE9FCC29E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FE911BC-9474-48B5-843B-C9D7D0D2CF2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5146C21-A778-4118-B364-9D8D3D07C4E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C55E3B5-54E1-49D8-A8E2-0E5B774C24B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7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AB76A26-243F-4319-9870-78EED713C56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991ACA8-B574-495D-AECD-00C4D046C9E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76775" cy="365744"/>
    <xdr:sp macro="" textlink="">
      <xdr:nvSpPr>
        <xdr:cNvPr id="58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A8C57D4-F979-4AFD-AB01-48C5949D6E4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76775" cy="365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FFC7CF9-2CDF-4B1F-B462-6CE87923FF2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C4E199-FDD0-4F0E-9718-DBEFF41EADD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FC0C023-56CA-4F09-A2D9-5D433B53EDE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ED2AA8A-0D70-4079-8C67-AB04B6E9251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360E3C2-9CD0-4404-8E50-21B004CAB62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80981F4-395C-4A6C-8612-0AD8083E6FB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828942D-3DFC-4D98-8FBD-836D126192E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8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CAED93C-534B-4943-82D8-BAEAD248CE6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DCB911A-DFA9-4C81-ACA8-520C1F6D18B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3FB3EF9-597A-4481-8A69-0823ECC660F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7233F75-1DEC-4B7F-B890-05E2462DAAE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089BD18-A238-4BCF-AD5F-6B39B33B874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BFD1065-66DB-452E-B67C-199DE40FFA4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09F35F2-1F02-438C-BFAF-CA2F7562F90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8C1C0E0-3158-49F1-8720-52008B666D3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EEE2EB6-6C2B-4392-BFE2-94ADC1711CF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B0DF6C7-68FF-4B15-AC23-EDAAD6049C0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59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3E5C0FF-1422-4849-BFC1-2E08FC73A0D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180</xdr:row>
      <xdr:rowOff>0</xdr:rowOff>
    </xdr:from>
    <xdr:ext cx="326089" cy="304800"/>
    <xdr:sp macro="" textlink="">
      <xdr:nvSpPr>
        <xdr:cNvPr id="60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778182F-9AFA-4C0B-AD7C-C093571BEFE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55</xdr:col>
      <xdr:colOff>37011</xdr:colOff>
      <xdr:row>181</xdr:row>
      <xdr:rowOff>171179</xdr:rowOff>
    </xdr:from>
    <xdr:ext cx="376775" cy="361934"/>
    <xdr:sp macro="" textlink="">
      <xdr:nvSpPr>
        <xdr:cNvPr id="60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6533272-8F32-45E1-A728-945FE3C8463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47139225"/>
          <a:ext cx="376775" cy="36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1470066</xdr:colOff>
      <xdr:row>186</xdr:row>
      <xdr:rowOff>0</xdr:rowOff>
    </xdr:from>
    <xdr:ext cx="326089" cy="304800"/>
    <xdr:sp macro="" textlink="">
      <xdr:nvSpPr>
        <xdr:cNvPr id="60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4D491B4-15F2-400E-AED3-1698DC82EC4E}"/>
            </a:ext>
          </a:extLst>
        </xdr:cNvPr>
        <xdr:cNvSpPr>
          <a:spLocks noChangeAspect="1" noChangeArrowheads="1"/>
        </xdr:cNvSpPr>
      </xdr:nvSpPr>
      <xdr:spPr bwMode="auto">
        <a:xfrm>
          <a:off x="24511041" y="498252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63668" cy="380998"/>
    <xdr:sp macro="" textlink="">
      <xdr:nvSpPr>
        <xdr:cNvPr id="60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316E20E-DC02-49DC-BAEB-5DDA8808960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63668" cy="3809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0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ACA78A-6A30-46A7-95A2-092DE13FEE3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0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3836CF1-7506-40F1-AA26-69D8F4750C0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0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D51C17E-DA68-4CD9-A428-9EA6392B178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0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F5C3ADE-D57E-405A-A5ED-9A544FCAD91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0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581E1A6-B45C-4634-BBB2-BB552499FAD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0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37C997F-6684-4B85-B775-9FA356556F3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2B06D84-7F24-4E54-A585-A30DEB5EF38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172D7B1-DF57-4B80-9E51-F1609183C1D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C1E1C45-E745-4940-ABB2-E69F81AD711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C7D6E5E-2A1F-4B36-B630-C6EAEAC4D03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5725FDA-CFC3-41DF-92AC-BB4C591181F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7630A96-DFD8-4968-8374-095118CF56A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487FFA4-F72B-48DC-B160-E85DBE7E172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C8CFFBB-6F5B-4870-B5C6-D23F265E79D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8851203-F4FD-4634-93D2-9629F0DC533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6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3ECDF21-A172-4839-B89D-1E6A4434B33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25041ED-DBD6-4672-80F5-38834746060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2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D377A6D-D8F1-494A-84B0-14B858DC7C7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2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3E51186-7DAD-46ED-88C4-CF9D163373F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2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C4709AA-E743-4951-8BFF-00C8A7F99A4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59866" cy="350510"/>
    <xdr:sp macro="" textlink="">
      <xdr:nvSpPr>
        <xdr:cNvPr id="62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8314414-0E52-4D3C-9F22-25B0A35E7D1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59866" cy="350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2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F00D31B-375F-4BE5-839D-90EB56D2853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2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B457285-86AF-4367-A74F-8A0C8F8572D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2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1B70C84-C5F5-41ED-BFA0-668755DECCD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62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2BDC93A-D746-40F5-BA5F-123DBB5687C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2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788AA7A-470E-4F80-91FB-8DEDF4933CC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3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657F454-A634-49EE-BFEF-71BFCA94056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062E610-CAD5-4C31-8DE4-96E4BA81168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2EB94E5-F229-470B-9DF7-441E8B51726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CCF8A16-1748-45DB-BEA7-76B9B18515E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26CD2F8-38F1-47AC-B5C1-04C5519B581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3D3FB10-4F29-4DB4-A3E3-EAC4844DF34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6CAD835-1C5C-4203-B69E-652DDB9E50C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622A744-D74C-4F02-8030-D959F1CDB25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9081606-1FA5-4D73-B1F2-F7334162EED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3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105E137-7D44-4B5F-949B-C4D2C04C4498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4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57B8F0C-75A3-4AA1-8F36-3077E59633E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4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EB6E278-DF3A-4A73-99E3-21B2C0E23BD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4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0708A6F-D169-48F5-844F-B0CA50774FF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64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6015D70-11B9-42E2-ACF3-3B55981699E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4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94B39DC-97B1-4F7C-975D-88AE3569804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4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C422854-6B4A-4F2D-AC67-F5914A08AE2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4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CC7EBE3-CE67-4FFC-AEF3-9D8F84209FC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64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BDE8448-2FCA-4859-B29E-7F27C1A3CC8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4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96504E8-C65B-4055-93EA-07A580526A2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4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74B032C-BA6E-438E-AB32-9864A0C7F9D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5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F0C7AFD-1FC7-4113-A498-FFAD9B1A657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5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33321BB-381C-4077-8D78-671D6439B8A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65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3B1ED3A-F08E-4764-A146-C6B897EC489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5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F3EC4EA-299C-4C95-8BFD-8B025E111A5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5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5BE9537-9A4F-4ABC-B871-E7720080063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5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6106FF8-790B-4B7F-BBDA-BFD3BDFDBE8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65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B4B7B59-78DD-42CA-BD98-CEE7138E60B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5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737C70C-9DE9-4C0E-B67F-429E765604C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5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1BED420-5463-4011-B157-274976DFDE3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5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B06ED16-8482-4049-96D2-84C3CE7005C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7D5D785-484C-4A5A-BA5B-48CDACCEC84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1470066</xdr:colOff>
      <xdr:row>186</xdr:row>
      <xdr:rowOff>0</xdr:rowOff>
    </xdr:from>
    <xdr:ext cx="326089" cy="304800"/>
    <xdr:sp macro="" textlink="">
      <xdr:nvSpPr>
        <xdr:cNvPr id="66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9A05B2D-10BE-4BB3-886B-45A8384E9B6E}"/>
            </a:ext>
          </a:extLst>
        </xdr:cNvPr>
        <xdr:cNvSpPr>
          <a:spLocks noChangeAspect="1" noChangeArrowheads="1"/>
        </xdr:cNvSpPr>
      </xdr:nvSpPr>
      <xdr:spPr bwMode="auto">
        <a:xfrm>
          <a:off x="24511041" y="5072062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63668" cy="380998"/>
    <xdr:sp macro="" textlink="">
      <xdr:nvSpPr>
        <xdr:cNvPr id="66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B960C19-2E75-4518-91D1-47352FE8E0D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63668" cy="3809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7302EBC-F24E-4DBF-8B7E-B7DC310CF3C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79460FB-2C0E-45E6-89D5-50BAC32EFCD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A984905-8BD6-4C8F-AE54-34AB0AC4840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CE982EF-7181-44AA-91AD-88983E0D0DD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3DB0E99-B67C-4877-98DD-311E899F15C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57920BE-746A-47B4-9F03-42925CB7969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6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1F39A1B-72F2-4D9B-9484-B50044271AD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E58906E-6620-45C1-967F-6F651A397D7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8577F28-C4AE-4F03-BB30-F145FDF84BB4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A374ED6-0A00-4BA4-9496-ADDA7948D5C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1DC68A8-67BC-419C-8189-A3F2906FD9E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6A1E1F4-8722-439F-AD09-A3486009857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445BF8B-0BB6-4FDB-B077-71E9A8647C9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7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94A8538-F786-428C-BDE7-EF8C31FAE14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559BEB6-3F87-401C-BE34-0400DC5BC49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67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47243EA-3D7A-4903-BD3D-B378C243DF2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7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F41CEAE-6AA0-494C-881C-CC7DADE35B3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8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820E174-3C43-4FD3-AA04-DFE67486F0E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8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36ED3A5-B8C6-4E8B-9F53-74C29B31532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8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08762DB-96FF-4A36-9B79-1324721FA00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59866" cy="350510"/>
    <xdr:sp macro="" textlink="">
      <xdr:nvSpPr>
        <xdr:cNvPr id="68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8747221-813D-48F7-877F-BE680AE4867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59866" cy="350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8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E45B6C2-4AB1-40E3-8376-42D78295708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8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57F9EC2B-8BEE-44D3-97EC-D33A419A337A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8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C4846E3-6A9A-4438-9160-DDD8B96D9A9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68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2602C1C8-9914-4781-A4B4-F9A46F8CE99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8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718F2DE-ACE9-4B74-909E-336722210EC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68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AEBD649-677F-4493-84DC-92380B201E7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EDB4EE0-5778-424A-9C7D-E431D013D6F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7937A0A-3A60-48E0-BC2E-52BF707675C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1F84DF42-5693-4047-ADB7-4D43886E02D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76C5B95E-FAE8-4FF7-975D-82815E01553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902630C-D6A8-4CA1-A972-D6B191008A9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FD875D1-E2AE-4365-99D7-659065851CE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69CFBBA5-2A81-49D7-87BC-15788064685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61D65F7-BCF5-4EA2-A9ED-1DD9010A930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05D34F0-D315-4104-B244-FE157A51ABC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69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DE26CBA-A1D3-4946-9E7E-60BB0672C9C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0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67F9C35-D117-40A7-B39F-25ECEC44C521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0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91A833C-8F1D-4745-80FF-77D8F26655E7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70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4D06CB0-F00E-4FE1-9558-8F949F75B163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0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856648A4-4EA6-4244-93D6-4121AE8A1AD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70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A1ECE99-D2B4-4D51-A02F-A72347FF128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0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9034DCC8-9272-47E6-914D-59A59A34CBA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70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ABE4AE5-409B-4BC2-AF56-1FAD3416BE9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0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6E9F380-3BE4-47AC-B12A-196FE148E4A2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70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2B58943-009B-4EF3-9241-1B41E496142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0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0949E162-6F24-493D-9454-EFF32B10F84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1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3C716050-7B21-4E49-93A6-FE6FC4207A05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9424" cy="304800"/>
    <xdr:sp macro="" textlink="">
      <xdr:nvSpPr>
        <xdr:cNvPr id="711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D429778C-0B8A-4DAA-BAF9-51474BCADF9B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942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12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F1B9925C-D2C1-4D96-89F1-173B0A9CF69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713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36E8E33-9F13-4225-A27D-20308081923F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14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DFE87E6-0C6C-4543-9D82-19CBEC9D2D3D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43498" cy="304800"/>
    <xdr:sp macro="" textlink="">
      <xdr:nvSpPr>
        <xdr:cNvPr id="715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C1F39DBF-8B3F-4240-A205-89C0AC3E2556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43498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16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1B49B97-2750-4F05-8081-459B45F10129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36454" cy="304800"/>
    <xdr:sp macro="" textlink="">
      <xdr:nvSpPr>
        <xdr:cNvPr id="717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467B80B5-5A44-4B10-9731-27F6E4986E0C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36454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18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E3E12F96-5B4A-4C16-B1A4-800CBA12F86E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186</xdr:row>
      <xdr:rowOff>0</xdr:rowOff>
    </xdr:from>
    <xdr:ext cx="326089" cy="304800"/>
    <xdr:sp macro="" textlink="">
      <xdr:nvSpPr>
        <xdr:cNvPr id="719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BD9652A5-858D-4CD8-861D-4282AB5ABCF0}"/>
            </a:ext>
          </a:extLst>
        </xdr:cNvPr>
        <xdr:cNvSpPr>
          <a:spLocks noChangeAspect="1" noChangeArrowheads="1"/>
        </xdr:cNvSpPr>
      </xdr:nvSpPr>
      <xdr:spPr bwMode="auto">
        <a:xfrm>
          <a:off x="24507825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1470066</xdr:colOff>
      <xdr:row>186</xdr:row>
      <xdr:rowOff>0</xdr:rowOff>
    </xdr:from>
    <xdr:ext cx="326089" cy="304800"/>
    <xdr:sp macro="" textlink="">
      <xdr:nvSpPr>
        <xdr:cNvPr id="720" name="AutoShape 167" descr="blob:https://web.whatsapp.com/1d6353a9-0b25-437a-87b3-5f10f5d23ba8">
          <a:extLst>
            <a:ext uri="{FF2B5EF4-FFF2-40B4-BE49-F238E27FC236}">
              <a16:creationId xmlns:a16="http://schemas.microsoft.com/office/drawing/2014/main" id="{A6E9929C-F508-4A84-93BC-BF161A9277EC}"/>
            </a:ext>
          </a:extLst>
        </xdr:cNvPr>
        <xdr:cNvSpPr>
          <a:spLocks noChangeAspect="1" noChangeArrowheads="1"/>
        </xdr:cNvSpPr>
      </xdr:nvSpPr>
      <xdr:spPr bwMode="auto">
        <a:xfrm>
          <a:off x="24511041" y="51615975"/>
          <a:ext cx="326089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0</xdr:col>
      <xdr:colOff>0</xdr:colOff>
      <xdr:row>115</xdr:row>
      <xdr:rowOff>639536</xdr:rowOff>
    </xdr:from>
    <xdr:to>
      <xdr:col>22</xdr:col>
      <xdr:colOff>1292678</xdr:colOff>
      <xdr:row>116</xdr:row>
      <xdr:rowOff>108858</xdr:rowOff>
    </xdr:to>
    <xdr:sp macro="" textlink="">
      <xdr:nvSpPr>
        <xdr:cNvPr id="722" name="Rectangle: Rounded Corners 721">
          <a:extLst>
            <a:ext uri="{FF2B5EF4-FFF2-40B4-BE49-F238E27FC236}">
              <a16:creationId xmlns:a16="http://schemas.microsoft.com/office/drawing/2014/main" id="{CF673663-D1BF-45A7-BF31-CCDB6F411549}"/>
            </a:ext>
          </a:extLst>
        </xdr:cNvPr>
        <xdr:cNvSpPr/>
      </xdr:nvSpPr>
      <xdr:spPr>
        <a:xfrm>
          <a:off x="0" y="45370865"/>
          <a:ext cx="24466159" cy="22891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0</xdr:col>
      <xdr:colOff>0</xdr:colOff>
      <xdr:row>103</xdr:row>
      <xdr:rowOff>777875</xdr:rowOff>
    </xdr:from>
    <xdr:to>
      <xdr:col>23</xdr:col>
      <xdr:colOff>14110</xdr:colOff>
      <xdr:row>104</xdr:row>
      <xdr:rowOff>149679</xdr:rowOff>
    </xdr:to>
    <xdr:sp macro="" textlink="">
      <xdr:nvSpPr>
        <xdr:cNvPr id="723" name="Rectangle: Rounded Corners 722">
          <a:extLst>
            <a:ext uri="{FF2B5EF4-FFF2-40B4-BE49-F238E27FC236}">
              <a16:creationId xmlns:a16="http://schemas.microsoft.com/office/drawing/2014/main" id="{7076FCF4-C20B-43C7-A55F-C03C29DCCC30}"/>
            </a:ext>
          </a:extLst>
        </xdr:cNvPr>
        <xdr:cNvSpPr/>
      </xdr:nvSpPr>
      <xdr:spPr>
        <a:xfrm>
          <a:off x="0" y="49672875"/>
          <a:ext cx="28017610" cy="26080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190490</xdr:colOff>
      <xdr:row>25</xdr:row>
      <xdr:rowOff>0</xdr:rowOff>
    </xdr:from>
    <xdr:to>
      <xdr:col>12</xdr:col>
      <xdr:colOff>2383517</xdr:colOff>
      <xdr:row>28</xdr:row>
      <xdr:rowOff>286890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CAC39825-C238-CC4F-8094-07FC4BF8B38A}"/>
            </a:ext>
          </a:extLst>
        </xdr:cNvPr>
        <xdr:cNvSpPr/>
      </xdr:nvSpPr>
      <xdr:spPr>
        <a:xfrm>
          <a:off x="35305990" y="342900"/>
          <a:ext cx="2193027" cy="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108000" tIns="0" rIns="0" bIns="0" rtlCol="0" anchor="ctr"/>
        <a:lstStyle/>
        <a:p>
          <a:pPr algn="ctr"/>
          <a:r>
            <a:rPr lang="en-AU" sz="2000" b="1"/>
            <a:t>Christmas</a:t>
          </a:r>
          <a:r>
            <a:rPr lang="en-AU" sz="2000" b="1" baseline="0"/>
            <a:t> eve</a:t>
          </a:r>
          <a:endParaRPr lang="en-AU" sz="2000" b="1"/>
        </a:p>
      </xdr:txBody>
    </xdr:sp>
    <xdr:clientData/>
  </xdr:twoCellAnchor>
  <xdr:twoCellAnchor>
    <xdr:from>
      <xdr:col>12</xdr:col>
      <xdr:colOff>264379</xdr:colOff>
      <xdr:row>31</xdr:row>
      <xdr:rowOff>305204</xdr:rowOff>
    </xdr:from>
    <xdr:to>
      <xdr:col>12</xdr:col>
      <xdr:colOff>2457406</xdr:colOff>
      <xdr:row>35</xdr:row>
      <xdr:rowOff>238805</xdr:rowOff>
    </xdr:to>
    <xdr:sp macro="" textlink="">
      <xdr:nvSpPr>
        <xdr:cNvPr id="3" name="Arrow: Left 2">
          <a:extLst>
            <a:ext uri="{FF2B5EF4-FFF2-40B4-BE49-F238E27FC236}">
              <a16:creationId xmlns:a16="http://schemas.microsoft.com/office/drawing/2014/main" id="{71941E99-0587-384F-88CB-67842659E21D}"/>
            </a:ext>
          </a:extLst>
        </xdr:cNvPr>
        <xdr:cNvSpPr/>
      </xdr:nvSpPr>
      <xdr:spPr>
        <a:xfrm>
          <a:off x="35379879" y="342900"/>
          <a:ext cx="2193027" cy="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108000" tIns="0" rIns="0" bIns="0" rtlCol="0" anchor="ctr"/>
        <a:lstStyle/>
        <a:p>
          <a:pPr algn="ctr"/>
          <a:r>
            <a:rPr lang="en-AU" sz="2000" b="1"/>
            <a:t>New</a:t>
          </a:r>
          <a:r>
            <a:rPr lang="en-AU" sz="2000" b="1" baseline="0"/>
            <a:t> year eve</a:t>
          </a:r>
          <a:endParaRPr lang="en-AU" sz="2000" b="1"/>
        </a:p>
      </xdr:txBody>
    </xdr:sp>
    <xdr:clientData/>
  </xdr:twoCellAnchor>
  <xdr:twoCellAnchor>
    <xdr:from>
      <xdr:col>8</xdr:col>
      <xdr:colOff>0</xdr:colOff>
      <xdr:row>46</xdr:row>
      <xdr:rowOff>151391</xdr:rowOff>
    </xdr:from>
    <xdr:to>
      <xdr:col>9</xdr:col>
      <xdr:colOff>0</xdr:colOff>
      <xdr:row>58</xdr:row>
      <xdr:rowOff>0</xdr:rowOff>
    </xdr:to>
    <xdr:sp macro="" textlink="">
      <xdr:nvSpPr>
        <xdr:cNvPr id="4" name="Arrow: Left 3">
          <a:extLst>
            <a:ext uri="{FF2B5EF4-FFF2-40B4-BE49-F238E27FC236}">
              <a16:creationId xmlns:a16="http://schemas.microsoft.com/office/drawing/2014/main" id="{F44B0CD8-0EE4-844B-9E18-DBB65CEFA91B}"/>
            </a:ext>
          </a:extLst>
        </xdr:cNvPr>
        <xdr:cNvSpPr/>
      </xdr:nvSpPr>
      <xdr:spPr>
        <a:xfrm>
          <a:off x="15049500" y="342900"/>
          <a:ext cx="5016500" cy="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108000" tIns="0" rIns="0" bIns="0" rtlCol="0" anchor="ctr"/>
        <a:lstStyle/>
        <a:p>
          <a:pPr algn="l"/>
          <a:r>
            <a:rPr lang="en-AU" sz="2000" b="1"/>
            <a:t>Phil will</a:t>
          </a:r>
          <a:r>
            <a:rPr lang="en-AU" sz="2000" b="1" baseline="0"/>
            <a:t> not available from 12/01/2026 to 22/01/2025.</a:t>
          </a:r>
        </a:p>
        <a:p>
          <a:pPr algn="l"/>
          <a:r>
            <a:rPr lang="en-AU" sz="2000" b="1" baseline="0"/>
            <a:t>Nick will not availabe from 16/01/2026 to 26/01/2026</a:t>
          </a:r>
          <a:endParaRPr lang="en-AU" sz="2000" b="1"/>
        </a:p>
      </xdr:txBody>
    </xdr:sp>
    <xdr:clientData/>
  </xdr:twoCellAnchor>
  <xdr:twoCellAnchor>
    <xdr:from>
      <xdr:col>0</xdr:col>
      <xdr:colOff>4365626</xdr:colOff>
      <xdr:row>77</xdr:row>
      <xdr:rowOff>19480</xdr:rowOff>
    </xdr:from>
    <xdr:to>
      <xdr:col>20</xdr:col>
      <xdr:colOff>3238500</xdr:colOff>
      <xdr:row>87</xdr:row>
      <xdr:rowOff>23811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A47B5CF0-AF69-364E-806A-8F5D7AC0F2F8}"/>
            </a:ext>
          </a:extLst>
        </xdr:cNvPr>
        <xdr:cNvSpPr/>
      </xdr:nvSpPr>
      <xdr:spPr>
        <a:xfrm>
          <a:off x="4365626" y="342900"/>
          <a:ext cx="74120374" cy="0"/>
        </a:xfrm>
        <a:prstGeom prst="roundRect">
          <a:avLst/>
        </a:prstGeom>
        <a:solidFill>
          <a:schemeClr val="accent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9900" b="1"/>
            <a:t>Factored</a:t>
          </a:r>
          <a:r>
            <a:rPr lang="en-AU" sz="19900" b="1" baseline="0"/>
            <a:t> TET HOLIDAY (ESTIMATED)</a:t>
          </a:r>
          <a:endParaRPr lang="en-AU" sz="19900" b="1"/>
        </a:p>
      </xdr:txBody>
    </xdr:sp>
    <xdr:clientData/>
  </xdr:twoCellAnchor>
  <xdr:twoCellAnchor>
    <xdr:from>
      <xdr:col>8</xdr:col>
      <xdr:colOff>0</xdr:colOff>
      <xdr:row>165</xdr:row>
      <xdr:rowOff>229987</xdr:rowOff>
    </xdr:from>
    <xdr:to>
      <xdr:col>9</xdr:col>
      <xdr:colOff>0</xdr:colOff>
      <xdr:row>171</xdr:row>
      <xdr:rowOff>336666</xdr:rowOff>
    </xdr:to>
    <xdr:sp macro="" textlink="">
      <xdr:nvSpPr>
        <xdr:cNvPr id="6" name="Arrow: Left 5">
          <a:extLst>
            <a:ext uri="{FF2B5EF4-FFF2-40B4-BE49-F238E27FC236}">
              <a16:creationId xmlns:a16="http://schemas.microsoft.com/office/drawing/2014/main" id="{910DA140-AD7A-654F-91A9-45E101E4B7EE}"/>
            </a:ext>
          </a:extLst>
        </xdr:cNvPr>
        <xdr:cNvSpPr/>
      </xdr:nvSpPr>
      <xdr:spPr>
        <a:xfrm>
          <a:off x="15049500" y="14631787"/>
          <a:ext cx="5016500" cy="216407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108000" tIns="0" rIns="0" bIns="0" rtlCol="0" anchor="ctr"/>
        <a:lstStyle/>
        <a:p>
          <a:pPr algn="ctr"/>
          <a:r>
            <a:rPr lang="en-AU" sz="2000" b="1"/>
            <a:t>Phil is</a:t>
          </a:r>
          <a:r>
            <a:rPr lang="en-AU" sz="2000" b="1" baseline="0"/>
            <a:t> not available from 07/05/2026 to 21/05/2026</a:t>
          </a:r>
          <a:endParaRPr lang="en-AU" sz="2000" b="1"/>
        </a:p>
      </xdr:txBody>
    </xdr:sp>
    <xdr:clientData/>
  </xdr:twoCellAnchor>
  <xdr:twoCellAnchor>
    <xdr:from>
      <xdr:col>4</xdr:col>
      <xdr:colOff>3606800</xdr:colOff>
      <xdr:row>93</xdr:row>
      <xdr:rowOff>106681</xdr:rowOff>
    </xdr:from>
    <xdr:to>
      <xdr:col>6</xdr:col>
      <xdr:colOff>2098040</xdr:colOff>
      <xdr:row>99</xdr:row>
      <xdr:rowOff>213361</xdr:rowOff>
    </xdr:to>
    <xdr:sp macro="" textlink="">
      <xdr:nvSpPr>
        <xdr:cNvPr id="7" name="Arrow: Left 6">
          <a:extLst>
            <a:ext uri="{FF2B5EF4-FFF2-40B4-BE49-F238E27FC236}">
              <a16:creationId xmlns:a16="http://schemas.microsoft.com/office/drawing/2014/main" id="{CA9BED02-7D81-3A4C-AF39-1237AFEE2048}"/>
            </a:ext>
          </a:extLst>
        </xdr:cNvPr>
        <xdr:cNvSpPr/>
      </xdr:nvSpPr>
      <xdr:spPr>
        <a:xfrm>
          <a:off x="5016500" y="342900"/>
          <a:ext cx="2098040" cy="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108000" tIns="0" rIns="0" bIns="0" rtlCol="0" anchor="ctr"/>
        <a:lstStyle/>
        <a:p>
          <a:pPr algn="ctr"/>
          <a:r>
            <a:rPr lang="en-AU" sz="2000" b="1"/>
            <a:t>Nick</a:t>
          </a:r>
          <a:r>
            <a:rPr lang="en-AU" sz="2000" b="1" baseline="0"/>
            <a:t> is not available on first week of March 2026</a:t>
          </a:r>
          <a:endParaRPr lang="en-AU" sz="2000" b="1"/>
        </a:p>
      </xdr:txBody>
    </xdr:sp>
    <xdr:clientData/>
  </xdr:twoCellAnchor>
  <xdr:twoCellAnchor>
    <xdr:from>
      <xdr:col>11</xdr:col>
      <xdr:colOff>0</xdr:colOff>
      <xdr:row>46</xdr:row>
      <xdr:rowOff>151391</xdr:rowOff>
    </xdr:from>
    <xdr:to>
      <xdr:col>15</xdr:col>
      <xdr:colOff>0</xdr:colOff>
      <xdr:row>58</xdr:row>
      <xdr:rowOff>0</xdr:rowOff>
    </xdr:to>
    <xdr:sp macro="" textlink="">
      <xdr:nvSpPr>
        <xdr:cNvPr id="8" name="Arrow: Left 7">
          <a:extLst>
            <a:ext uri="{FF2B5EF4-FFF2-40B4-BE49-F238E27FC236}">
              <a16:creationId xmlns:a16="http://schemas.microsoft.com/office/drawing/2014/main" id="{FE89E441-EC85-4C4A-9677-FB6640F8BC17}"/>
            </a:ext>
          </a:extLst>
        </xdr:cNvPr>
        <xdr:cNvSpPr/>
      </xdr:nvSpPr>
      <xdr:spPr>
        <a:xfrm>
          <a:off x="30099000" y="342900"/>
          <a:ext cx="20066000" cy="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108000" tIns="0" rIns="0" bIns="0" rtlCol="0" anchor="ctr"/>
        <a:lstStyle/>
        <a:p>
          <a:pPr algn="l"/>
          <a:r>
            <a:rPr lang="en-AU" sz="2000" b="1"/>
            <a:t>Phil will</a:t>
          </a:r>
          <a:r>
            <a:rPr lang="en-AU" sz="2000" b="1" baseline="0"/>
            <a:t> not available from 12/01/2026 to 22/01/2025.</a:t>
          </a:r>
        </a:p>
        <a:p>
          <a:pPr algn="l"/>
          <a:r>
            <a:rPr lang="en-AU" sz="2000" b="1" baseline="0"/>
            <a:t>Nick will not availabe from 16/01/2026 to 26/01/2026</a:t>
          </a:r>
          <a:endParaRPr lang="en-AU" sz="2000" b="1"/>
        </a:p>
      </xdr:txBody>
    </xdr:sp>
    <xdr:clientData/>
  </xdr:twoCellAnchor>
  <xdr:twoCellAnchor>
    <xdr:from>
      <xdr:col>11</xdr:col>
      <xdr:colOff>0</xdr:colOff>
      <xdr:row>165</xdr:row>
      <xdr:rowOff>229987</xdr:rowOff>
    </xdr:from>
    <xdr:to>
      <xdr:col>15</xdr:col>
      <xdr:colOff>0</xdr:colOff>
      <xdr:row>171</xdr:row>
      <xdr:rowOff>336666</xdr:rowOff>
    </xdr:to>
    <xdr:sp macro="" textlink="">
      <xdr:nvSpPr>
        <xdr:cNvPr id="9" name="Arrow: Left 8">
          <a:extLst>
            <a:ext uri="{FF2B5EF4-FFF2-40B4-BE49-F238E27FC236}">
              <a16:creationId xmlns:a16="http://schemas.microsoft.com/office/drawing/2014/main" id="{F5697C87-FF7C-C845-91DD-BE058315D300}"/>
            </a:ext>
          </a:extLst>
        </xdr:cNvPr>
        <xdr:cNvSpPr/>
      </xdr:nvSpPr>
      <xdr:spPr>
        <a:xfrm>
          <a:off x="30099000" y="14631787"/>
          <a:ext cx="20066000" cy="216407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108000" tIns="0" rIns="0" bIns="0" rtlCol="0" anchor="ctr"/>
        <a:lstStyle/>
        <a:p>
          <a:pPr algn="ctr"/>
          <a:r>
            <a:rPr lang="en-AU" sz="2000" b="1"/>
            <a:t>Phil is</a:t>
          </a:r>
          <a:r>
            <a:rPr lang="en-AU" sz="2000" b="1" baseline="0"/>
            <a:t> not available from 07/05/2026 to 21/05/2026</a:t>
          </a:r>
          <a:endParaRPr lang="en-AU" sz="2000" b="1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74" dT="2025-12-02T06:14:40.17" personId="{00000000-0000-0000-0000-000000000000}" id="{1B85E874-E9D6-C540-BE7C-712C22AAB2E5}">
    <text>Confirmed by Ms. Thùy email on 08/10/2025 - SC636 handover dates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AC54F-52F3-4D9C-883C-9BCB1988141C}">
  <sheetPr>
    <tabColor theme="9"/>
  </sheetPr>
  <dimension ref="A1:KF238"/>
  <sheetViews>
    <sheetView tabSelected="1" zoomScaleNormal="100" workbookViewId="0">
      <pane xSplit="10" ySplit="4" topLeftCell="R59" activePane="bottomRight" state="frozen"/>
      <selection activeCell="J179" sqref="J179"/>
      <selection pane="topRight" activeCell="J179" sqref="J179"/>
      <selection pane="bottomLeft" activeCell="J179" sqref="J179"/>
      <selection pane="bottomRight" activeCell="CT65" sqref="CT65"/>
    </sheetView>
  </sheetViews>
  <sheetFormatPr baseColWidth="10" defaultColWidth="9.1640625" defaultRowHeight="70" customHeight="1"/>
  <cols>
    <col min="1" max="1" width="11.5" style="169" customWidth="1"/>
    <col min="2" max="2" width="8.5" style="8" hidden="1" customWidth="1"/>
    <col min="3" max="3" width="12.5" style="8" hidden="1" customWidth="1"/>
    <col min="4" max="4" width="9.1640625" style="8" hidden="1" customWidth="1"/>
    <col min="5" max="5" width="9.83203125" style="8" hidden="1" customWidth="1"/>
    <col min="6" max="6" width="12.5" style="8" bestFit="1" customWidth="1"/>
    <col min="7" max="7" width="14.83203125" style="634" customWidth="1"/>
    <col min="8" max="8" width="16.33203125" style="634" customWidth="1"/>
    <col min="9" max="9" width="33.5" style="614" customWidth="1"/>
    <col min="10" max="10" width="22.5" style="634" customWidth="1"/>
    <col min="11" max="11" width="11.5" style="247" customWidth="1"/>
    <col min="12" max="12" width="12.5" style="631" customWidth="1"/>
    <col min="13" max="13" width="29.5" style="631" customWidth="1"/>
    <col min="14" max="15" width="15.5" style="9" customWidth="1"/>
    <col min="16" max="16" width="14.33203125" style="614" customWidth="1"/>
    <col min="17" max="18" width="15.5" style="614" customWidth="1"/>
    <col min="19" max="19" width="13.5" style="614" customWidth="1"/>
    <col min="20" max="20" width="15.5" style="614" customWidth="1"/>
    <col min="21" max="21" width="13.83203125" style="614" customWidth="1"/>
    <col min="22" max="22" width="64.5" style="631" customWidth="1"/>
    <col min="23" max="23" width="19.6640625" style="614" customWidth="1"/>
    <col min="24" max="32" width="4.5" style="403" hidden="1" customWidth="1"/>
    <col min="33" max="45" width="4.83203125" style="403" hidden="1" customWidth="1"/>
    <col min="46" max="70" width="5" style="403" hidden="1" customWidth="1"/>
    <col min="71" max="73" width="4.83203125" style="403" hidden="1" customWidth="1"/>
    <col min="74" max="87" width="5" style="403" hidden="1" customWidth="1"/>
    <col min="88" max="88" width="5.1640625" style="403" hidden="1" customWidth="1"/>
    <col min="89" max="97" width="5" style="403" hidden="1" customWidth="1"/>
    <col min="98" max="99" width="5" style="403" customWidth="1"/>
    <col min="100" max="100" width="5.1640625" style="403" customWidth="1"/>
    <col min="101" max="114" width="5" style="403" customWidth="1"/>
    <col min="115" max="115" width="5.83203125" style="403" customWidth="1"/>
    <col min="116" max="131" width="5" style="403" customWidth="1"/>
    <col min="132" max="132" width="5.1640625" style="403" customWidth="1"/>
    <col min="133" max="214" width="5.5" style="403" customWidth="1"/>
    <col min="215" max="292" width="5.5" style="403" hidden="1" customWidth="1"/>
    <col min="293" max="16384" width="9.1640625" style="403"/>
  </cols>
  <sheetData>
    <row r="1" spans="1:292" ht="70" customHeight="1">
      <c r="A1" s="393" t="s">
        <v>747</v>
      </c>
      <c r="B1" s="393"/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  <c r="U1" s="393"/>
      <c r="V1" s="393"/>
      <c r="W1" s="393"/>
      <c r="X1" s="402"/>
      <c r="Y1" s="402"/>
      <c r="Z1" s="402"/>
      <c r="AA1" s="402"/>
      <c r="AB1" s="402"/>
      <c r="AC1" s="402"/>
      <c r="BC1" s="404"/>
      <c r="CS1" s="403" t="s">
        <v>224</v>
      </c>
    </row>
    <row r="2" spans="1:292" s="5" customFormat="1" ht="70" customHeight="1">
      <c r="A2" s="281" t="s">
        <v>507</v>
      </c>
      <c r="B2" s="26"/>
      <c r="C2" s="26"/>
      <c r="D2" s="26"/>
      <c r="E2" s="26"/>
      <c r="F2" s="26"/>
      <c r="G2" s="231"/>
      <c r="H2" s="231"/>
      <c r="I2" s="26"/>
      <c r="J2" s="231"/>
      <c r="K2" s="232"/>
      <c r="L2" s="282"/>
      <c r="M2" s="282"/>
      <c r="N2" s="283"/>
      <c r="O2" s="283"/>
      <c r="P2" s="394" t="s">
        <v>0</v>
      </c>
      <c r="Q2" s="394"/>
      <c r="R2" s="394"/>
      <c r="S2" s="284"/>
      <c r="T2" s="405"/>
      <c r="U2" s="285"/>
      <c r="V2" s="211"/>
      <c r="W2" s="231"/>
      <c r="X2" s="406"/>
      <c r="Y2" s="406"/>
      <c r="Z2" s="406"/>
      <c r="AA2" s="406"/>
      <c r="AB2" s="286"/>
      <c r="AF2" s="287"/>
      <c r="BC2" s="5" t="s">
        <v>1</v>
      </c>
    </row>
    <row r="3" spans="1:292" s="433" customFormat="1" ht="70" customHeight="1">
      <c r="A3" s="407" t="s">
        <v>2</v>
      </c>
      <c r="B3" s="408" t="s">
        <v>3</v>
      </c>
      <c r="C3" s="408" t="s">
        <v>4</v>
      </c>
      <c r="D3" s="408" t="s">
        <v>5</v>
      </c>
      <c r="E3" s="408" t="s">
        <v>6</v>
      </c>
      <c r="F3" s="409" t="s">
        <v>7</v>
      </c>
      <c r="G3" s="409" t="s">
        <v>8</v>
      </c>
      <c r="H3" s="410" t="s">
        <v>9</v>
      </c>
      <c r="I3" s="409" t="s">
        <v>10</v>
      </c>
      <c r="J3" s="409" t="s">
        <v>11</v>
      </c>
      <c r="K3" s="411" t="s">
        <v>12</v>
      </c>
      <c r="L3" s="412" t="s">
        <v>13</v>
      </c>
      <c r="M3" s="413" t="s">
        <v>14</v>
      </c>
      <c r="N3" s="414" t="s">
        <v>15</v>
      </c>
      <c r="O3" s="413" t="s">
        <v>16</v>
      </c>
      <c r="P3" s="408" t="s">
        <v>17</v>
      </c>
      <c r="Q3" s="408" t="s">
        <v>18</v>
      </c>
      <c r="R3" s="408" t="s">
        <v>19</v>
      </c>
      <c r="S3" s="284" t="s">
        <v>20</v>
      </c>
      <c r="T3" s="284" t="s">
        <v>21</v>
      </c>
      <c r="U3" s="415" t="s">
        <v>22</v>
      </c>
      <c r="V3" s="410" t="s">
        <v>23</v>
      </c>
      <c r="W3" s="410" t="s">
        <v>24</v>
      </c>
      <c r="X3" s="416">
        <v>45597</v>
      </c>
      <c r="Y3" s="416"/>
      <c r="Z3" s="416"/>
      <c r="AA3" s="416"/>
      <c r="AB3" s="416"/>
      <c r="AC3" s="417">
        <v>45627</v>
      </c>
      <c r="AD3" s="417"/>
      <c r="AE3" s="417"/>
      <c r="AF3" s="417"/>
      <c r="AG3" s="418">
        <v>45658</v>
      </c>
      <c r="AH3" s="418"/>
      <c r="AI3" s="418"/>
      <c r="AJ3" s="418"/>
      <c r="AK3" s="417">
        <v>45689</v>
      </c>
      <c r="AL3" s="417"/>
      <c r="AM3" s="417"/>
      <c r="AN3" s="417"/>
      <c r="AO3" s="416">
        <v>45717</v>
      </c>
      <c r="AP3" s="419"/>
      <c r="AQ3" s="419"/>
      <c r="AR3" s="419"/>
      <c r="AS3" s="420"/>
      <c r="AT3" s="417">
        <v>45748</v>
      </c>
      <c r="AU3" s="417"/>
      <c r="AV3" s="417"/>
      <c r="AW3" s="417"/>
      <c r="AX3" s="416">
        <v>45778</v>
      </c>
      <c r="AY3" s="419"/>
      <c r="AZ3" s="419"/>
      <c r="BA3" s="419"/>
      <c r="BB3" s="419"/>
      <c r="BC3" s="417">
        <v>45809</v>
      </c>
      <c r="BD3" s="417"/>
      <c r="BE3" s="417"/>
      <c r="BF3" s="417"/>
      <c r="BG3" s="418">
        <v>45839</v>
      </c>
      <c r="BH3" s="418"/>
      <c r="BI3" s="418"/>
      <c r="BJ3" s="418"/>
      <c r="BK3" s="417">
        <v>45870</v>
      </c>
      <c r="BL3" s="421"/>
      <c r="BM3" s="421"/>
      <c r="BN3" s="421"/>
      <c r="BO3" s="421"/>
      <c r="BP3" s="418">
        <v>45901</v>
      </c>
      <c r="BQ3" s="418"/>
      <c r="BR3" s="418"/>
      <c r="BS3" s="418"/>
      <c r="BT3" s="417">
        <v>45931</v>
      </c>
      <c r="BU3" s="417"/>
      <c r="BV3" s="417"/>
      <c r="BW3" s="417"/>
      <c r="BX3" s="416">
        <v>45962</v>
      </c>
      <c r="BY3" s="419"/>
      <c r="BZ3" s="419"/>
      <c r="CA3" s="419"/>
      <c r="CB3" s="419"/>
      <c r="CC3" s="417">
        <v>45992</v>
      </c>
      <c r="CD3" s="417"/>
      <c r="CE3" s="417"/>
      <c r="CF3" s="417"/>
      <c r="CG3" s="416">
        <v>46023</v>
      </c>
      <c r="CH3" s="419"/>
      <c r="CI3" s="419"/>
      <c r="CJ3" s="419"/>
      <c r="CK3" s="419"/>
      <c r="CL3" s="417">
        <v>46054</v>
      </c>
      <c r="CM3" s="417"/>
      <c r="CN3" s="417"/>
      <c r="CO3" s="417"/>
      <c r="CP3" s="416">
        <v>46082</v>
      </c>
      <c r="CQ3" s="416"/>
      <c r="CR3" s="416"/>
      <c r="CS3" s="416"/>
      <c r="CT3" s="422">
        <v>46113</v>
      </c>
      <c r="CU3" s="422"/>
      <c r="CV3" s="422"/>
      <c r="CW3" s="422"/>
      <c r="CX3" s="416">
        <v>46143</v>
      </c>
      <c r="CY3" s="419"/>
      <c r="CZ3" s="419"/>
      <c r="DA3" s="419"/>
      <c r="DB3" s="419"/>
      <c r="DC3" s="417">
        <v>46174</v>
      </c>
      <c r="DD3" s="417"/>
      <c r="DE3" s="417"/>
      <c r="DF3" s="417"/>
      <c r="DG3" s="416">
        <v>46204</v>
      </c>
      <c r="DH3" s="416"/>
      <c r="DI3" s="416"/>
      <c r="DJ3" s="416"/>
      <c r="DK3" s="422">
        <v>46235</v>
      </c>
      <c r="DL3" s="423"/>
      <c r="DM3" s="423"/>
      <c r="DN3" s="423"/>
      <c r="DO3" s="423"/>
      <c r="DP3" s="418">
        <v>46266</v>
      </c>
      <c r="DQ3" s="418"/>
      <c r="DR3" s="418"/>
      <c r="DS3" s="418"/>
      <c r="DT3" s="422">
        <v>46296</v>
      </c>
      <c r="DU3" s="423"/>
      <c r="DV3" s="423"/>
      <c r="DW3" s="423"/>
      <c r="DX3" s="423"/>
      <c r="DY3" s="416">
        <v>46327</v>
      </c>
      <c r="DZ3" s="419"/>
      <c r="EA3" s="419"/>
      <c r="EB3" s="419"/>
      <c r="EC3" s="417">
        <v>46357</v>
      </c>
      <c r="ED3" s="417"/>
      <c r="EE3" s="417"/>
      <c r="EF3" s="417"/>
      <c r="EG3" s="416">
        <v>46388</v>
      </c>
      <c r="EH3" s="419"/>
      <c r="EI3" s="419"/>
      <c r="EJ3" s="419"/>
      <c r="EK3" s="419"/>
      <c r="EL3" s="422">
        <v>46419</v>
      </c>
      <c r="EM3" s="422"/>
      <c r="EN3" s="422"/>
      <c r="EO3" s="422"/>
      <c r="EP3" s="416">
        <v>46447</v>
      </c>
      <c r="EQ3" s="416"/>
      <c r="ER3" s="416"/>
      <c r="ES3" s="416"/>
      <c r="ET3" s="422">
        <v>46478</v>
      </c>
      <c r="EU3" s="423"/>
      <c r="EV3" s="423"/>
      <c r="EW3" s="423"/>
      <c r="EX3" s="416">
        <v>46508</v>
      </c>
      <c r="EY3" s="419"/>
      <c r="EZ3" s="419"/>
      <c r="FA3" s="419"/>
      <c r="FB3" s="419"/>
      <c r="FC3" s="422" t="s">
        <v>25</v>
      </c>
      <c r="FD3" s="422"/>
      <c r="FE3" s="422"/>
      <c r="FF3" s="422"/>
      <c r="FG3" s="416">
        <v>46569</v>
      </c>
      <c r="FH3" s="416"/>
      <c r="FI3" s="416"/>
      <c r="FJ3" s="416"/>
      <c r="FK3" s="422">
        <v>46600</v>
      </c>
      <c r="FL3" s="423"/>
      <c r="FM3" s="423"/>
      <c r="FN3" s="423"/>
      <c r="FO3" s="423"/>
      <c r="FP3" s="418">
        <v>46631</v>
      </c>
      <c r="FQ3" s="418"/>
      <c r="FR3" s="418"/>
      <c r="FS3" s="418"/>
      <c r="FT3" s="422">
        <v>46661</v>
      </c>
      <c r="FU3" s="423"/>
      <c r="FV3" s="423"/>
      <c r="FW3" s="423"/>
      <c r="FX3" s="423"/>
      <c r="FY3" s="424">
        <v>46692</v>
      </c>
      <c r="FZ3" s="425"/>
      <c r="GA3" s="425"/>
      <c r="GB3" s="426"/>
      <c r="GC3" s="417">
        <v>46722</v>
      </c>
      <c r="GD3" s="417"/>
      <c r="GE3" s="417"/>
      <c r="GF3" s="417"/>
      <c r="GG3" s="416">
        <v>46753</v>
      </c>
      <c r="GH3" s="419"/>
      <c r="GI3" s="419"/>
      <c r="GJ3" s="419"/>
      <c r="GK3" s="419"/>
      <c r="GL3" s="422">
        <v>46784</v>
      </c>
      <c r="GM3" s="422"/>
      <c r="GN3" s="422"/>
      <c r="GO3" s="422"/>
      <c r="GP3" s="416">
        <v>46813</v>
      </c>
      <c r="GQ3" s="416"/>
      <c r="GR3" s="416"/>
      <c r="GS3" s="416"/>
      <c r="GT3" s="422">
        <v>46844</v>
      </c>
      <c r="GU3" s="423"/>
      <c r="GV3" s="423"/>
      <c r="GW3" s="423"/>
      <c r="GX3" s="416">
        <v>46874</v>
      </c>
      <c r="GY3" s="419"/>
      <c r="GZ3" s="419"/>
      <c r="HA3" s="419"/>
      <c r="HB3" s="419"/>
      <c r="HC3" s="422">
        <v>46905</v>
      </c>
      <c r="HD3" s="422"/>
      <c r="HE3" s="422"/>
      <c r="HF3" s="422"/>
      <c r="HG3" s="416">
        <v>46935</v>
      </c>
      <c r="HH3" s="416"/>
      <c r="HI3" s="416"/>
      <c r="HJ3" s="416"/>
      <c r="HK3" s="422">
        <v>46966</v>
      </c>
      <c r="HL3" s="423"/>
      <c r="HM3" s="423"/>
      <c r="HN3" s="423"/>
      <c r="HO3" s="423"/>
      <c r="HP3" s="418">
        <v>46997</v>
      </c>
      <c r="HQ3" s="418"/>
      <c r="HR3" s="418"/>
      <c r="HS3" s="418"/>
      <c r="HT3" s="422">
        <v>47027</v>
      </c>
      <c r="HU3" s="423"/>
      <c r="HV3" s="423"/>
      <c r="HW3" s="423"/>
      <c r="HX3" s="423"/>
      <c r="HY3" s="424">
        <v>47058</v>
      </c>
      <c r="HZ3" s="425"/>
      <c r="IA3" s="425"/>
      <c r="IB3" s="426"/>
      <c r="IC3" s="427">
        <v>47088</v>
      </c>
      <c r="ID3" s="428"/>
      <c r="IE3" s="428"/>
      <c r="IF3" s="429"/>
      <c r="IG3" s="424">
        <v>47119</v>
      </c>
      <c r="IH3" s="425"/>
      <c r="II3" s="425"/>
      <c r="IJ3" s="425"/>
      <c r="IK3" s="426"/>
      <c r="IL3" s="430">
        <v>47150</v>
      </c>
      <c r="IM3" s="431"/>
      <c r="IN3" s="431"/>
      <c r="IO3" s="432"/>
      <c r="IP3" s="424">
        <v>47178</v>
      </c>
      <c r="IQ3" s="425"/>
      <c r="IR3" s="425"/>
      <c r="IS3" s="426"/>
      <c r="IT3" s="430">
        <v>47209</v>
      </c>
      <c r="IU3" s="431"/>
      <c r="IV3" s="431"/>
      <c r="IW3" s="432"/>
      <c r="IX3" s="424">
        <v>47239</v>
      </c>
      <c r="IY3" s="425"/>
      <c r="IZ3" s="425"/>
      <c r="JA3" s="425"/>
      <c r="JB3" s="426"/>
      <c r="JC3" s="430">
        <v>47270</v>
      </c>
      <c r="JD3" s="431"/>
      <c r="JE3" s="431"/>
      <c r="JF3" s="432"/>
      <c r="JG3" s="424">
        <v>47300</v>
      </c>
      <c r="JH3" s="425"/>
      <c r="JI3" s="425"/>
      <c r="JJ3" s="426"/>
      <c r="JK3" s="430">
        <v>47331</v>
      </c>
      <c r="JL3" s="431"/>
      <c r="JM3" s="431"/>
      <c r="JN3" s="431"/>
      <c r="JO3" s="432"/>
      <c r="JP3" s="418">
        <v>47362</v>
      </c>
      <c r="JQ3" s="418"/>
      <c r="JR3" s="418"/>
      <c r="JS3" s="418"/>
      <c r="JT3" s="422">
        <v>47392</v>
      </c>
      <c r="JU3" s="423"/>
      <c r="JV3" s="423"/>
      <c r="JW3" s="423"/>
      <c r="JX3" s="423"/>
      <c r="JY3" s="424">
        <v>47423</v>
      </c>
      <c r="JZ3" s="425"/>
      <c r="KA3" s="425"/>
      <c r="KB3" s="426"/>
      <c r="KC3" s="427">
        <v>47453</v>
      </c>
      <c r="KD3" s="428"/>
      <c r="KE3" s="428"/>
      <c r="KF3" s="429"/>
    </row>
    <row r="4" spans="1:292" s="450" customFormat="1" ht="70" customHeight="1">
      <c r="A4" s="407"/>
      <c r="B4" s="231"/>
      <c r="C4" s="231"/>
      <c r="D4" s="231"/>
      <c r="E4" s="231"/>
      <c r="F4" s="409"/>
      <c r="G4" s="409"/>
      <c r="H4" s="434"/>
      <c r="I4" s="409"/>
      <c r="J4" s="409"/>
      <c r="K4" s="435" t="s">
        <v>26</v>
      </c>
      <c r="L4" s="412"/>
      <c r="M4" s="413"/>
      <c r="N4" s="414"/>
      <c r="O4" s="413"/>
      <c r="P4" s="436" t="s">
        <v>27</v>
      </c>
      <c r="Q4" s="437">
        <v>0.2</v>
      </c>
      <c r="R4" s="437">
        <v>0.2</v>
      </c>
      <c r="S4" s="438"/>
      <c r="T4" s="438" t="s">
        <v>28</v>
      </c>
      <c r="U4" s="439"/>
      <c r="V4" s="434"/>
      <c r="W4" s="434"/>
      <c r="X4" s="440">
        <v>2</v>
      </c>
      <c r="Y4" s="440">
        <v>9</v>
      </c>
      <c r="Z4" s="440">
        <v>16</v>
      </c>
      <c r="AA4" s="440">
        <v>23</v>
      </c>
      <c r="AB4" s="441">
        <v>30</v>
      </c>
      <c r="AC4" s="442">
        <v>7</v>
      </c>
      <c r="AD4" s="442">
        <v>14</v>
      </c>
      <c r="AE4" s="442">
        <v>21</v>
      </c>
      <c r="AF4" s="442">
        <v>28</v>
      </c>
      <c r="AG4" s="443">
        <v>4</v>
      </c>
      <c r="AH4" s="443">
        <v>11</v>
      </c>
      <c r="AI4" s="443">
        <v>18</v>
      </c>
      <c r="AJ4" s="443">
        <v>25</v>
      </c>
      <c r="AK4" s="444">
        <v>1</v>
      </c>
      <c r="AL4" s="444">
        <v>8</v>
      </c>
      <c r="AM4" s="444">
        <v>15</v>
      </c>
      <c r="AN4" s="444">
        <v>22</v>
      </c>
      <c r="AO4" s="440">
        <v>1</v>
      </c>
      <c r="AP4" s="440">
        <v>8</v>
      </c>
      <c r="AQ4" s="440">
        <v>15</v>
      </c>
      <c r="AR4" s="440">
        <v>22</v>
      </c>
      <c r="AS4" s="445">
        <v>29</v>
      </c>
      <c r="AT4" s="442">
        <v>5</v>
      </c>
      <c r="AU4" s="442">
        <v>12</v>
      </c>
      <c r="AV4" s="442">
        <v>19</v>
      </c>
      <c r="AW4" s="442">
        <v>26</v>
      </c>
      <c r="AX4" s="441">
        <v>3</v>
      </c>
      <c r="AY4" s="441">
        <v>10</v>
      </c>
      <c r="AZ4" s="441">
        <v>17</v>
      </c>
      <c r="BA4" s="441">
        <v>24</v>
      </c>
      <c r="BB4" s="441">
        <v>31</v>
      </c>
      <c r="BC4" s="442">
        <v>7</v>
      </c>
      <c r="BD4" s="442">
        <v>14</v>
      </c>
      <c r="BE4" s="442">
        <v>21</v>
      </c>
      <c r="BF4" s="442">
        <v>28</v>
      </c>
      <c r="BG4" s="440">
        <v>5</v>
      </c>
      <c r="BH4" s="440">
        <v>12</v>
      </c>
      <c r="BI4" s="440">
        <v>19</v>
      </c>
      <c r="BJ4" s="440">
        <v>26</v>
      </c>
      <c r="BK4" s="442">
        <v>2</v>
      </c>
      <c r="BL4" s="442">
        <v>9</v>
      </c>
      <c r="BM4" s="442">
        <v>16</v>
      </c>
      <c r="BN4" s="442">
        <v>23</v>
      </c>
      <c r="BO4" s="442">
        <v>30</v>
      </c>
      <c r="BP4" s="446">
        <v>6</v>
      </c>
      <c r="BQ4" s="446">
        <v>13</v>
      </c>
      <c r="BR4" s="446">
        <v>20</v>
      </c>
      <c r="BS4" s="446">
        <v>27</v>
      </c>
      <c r="BT4" s="444">
        <v>4</v>
      </c>
      <c r="BU4" s="444">
        <v>11</v>
      </c>
      <c r="BV4" s="447">
        <v>18</v>
      </c>
      <c r="BW4" s="444">
        <v>25</v>
      </c>
      <c r="BX4" s="440">
        <v>1</v>
      </c>
      <c r="BY4" s="440">
        <v>8</v>
      </c>
      <c r="BZ4" s="440">
        <v>15</v>
      </c>
      <c r="CA4" s="440">
        <v>22</v>
      </c>
      <c r="CB4" s="441">
        <v>29</v>
      </c>
      <c r="CC4" s="446">
        <v>6</v>
      </c>
      <c r="CD4" s="446">
        <v>13</v>
      </c>
      <c r="CE4" s="446">
        <v>20</v>
      </c>
      <c r="CF4" s="446">
        <v>27</v>
      </c>
      <c r="CG4" s="441">
        <v>3</v>
      </c>
      <c r="CH4" s="441">
        <v>10</v>
      </c>
      <c r="CI4" s="441">
        <v>17</v>
      </c>
      <c r="CJ4" s="441">
        <v>24</v>
      </c>
      <c r="CK4" s="441">
        <v>31</v>
      </c>
      <c r="CL4" s="442">
        <v>7</v>
      </c>
      <c r="CM4" s="442">
        <v>14</v>
      </c>
      <c r="CN4" s="442">
        <v>21</v>
      </c>
      <c r="CO4" s="442">
        <v>28</v>
      </c>
      <c r="CP4" s="440">
        <v>7</v>
      </c>
      <c r="CQ4" s="440">
        <v>14</v>
      </c>
      <c r="CR4" s="440">
        <v>21</v>
      </c>
      <c r="CS4" s="440">
        <v>28</v>
      </c>
      <c r="CT4" s="448">
        <v>4</v>
      </c>
      <c r="CU4" s="448">
        <v>11</v>
      </c>
      <c r="CV4" s="448">
        <v>18</v>
      </c>
      <c r="CW4" s="448">
        <v>25</v>
      </c>
      <c r="CX4" s="440">
        <v>2</v>
      </c>
      <c r="CY4" s="440">
        <v>9</v>
      </c>
      <c r="CZ4" s="440">
        <v>16</v>
      </c>
      <c r="DA4" s="440">
        <v>23</v>
      </c>
      <c r="DB4" s="440">
        <v>30</v>
      </c>
      <c r="DC4" s="449">
        <v>6</v>
      </c>
      <c r="DD4" s="449">
        <v>13</v>
      </c>
      <c r="DE4" s="449">
        <v>20</v>
      </c>
      <c r="DF4" s="449">
        <v>27</v>
      </c>
      <c r="DG4" s="441">
        <v>4</v>
      </c>
      <c r="DH4" s="441">
        <v>11</v>
      </c>
      <c r="DI4" s="441">
        <v>18</v>
      </c>
      <c r="DJ4" s="441">
        <v>25</v>
      </c>
      <c r="DK4" s="449">
        <v>1</v>
      </c>
      <c r="DL4" s="449">
        <v>8</v>
      </c>
      <c r="DM4" s="449">
        <v>15</v>
      </c>
      <c r="DN4" s="449">
        <v>22</v>
      </c>
      <c r="DO4" s="448">
        <v>29</v>
      </c>
      <c r="DP4" s="440">
        <v>5</v>
      </c>
      <c r="DQ4" s="440">
        <v>12</v>
      </c>
      <c r="DR4" s="440">
        <v>19</v>
      </c>
      <c r="DS4" s="440">
        <v>26</v>
      </c>
      <c r="DT4" s="448">
        <v>3</v>
      </c>
      <c r="DU4" s="448">
        <v>10</v>
      </c>
      <c r="DV4" s="448">
        <v>17</v>
      </c>
      <c r="DW4" s="448">
        <v>24</v>
      </c>
      <c r="DX4" s="448">
        <v>31</v>
      </c>
      <c r="DY4" s="440">
        <v>8</v>
      </c>
      <c r="DZ4" s="440">
        <v>15</v>
      </c>
      <c r="EA4" s="440">
        <v>22</v>
      </c>
      <c r="EB4" s="441">
        <v>29</v>
      </c>
      <c r="EC4" s="449">
        <v>6</v>
      </c>
      <c r="ED4" s="449">
        <v>13</v>
      </c>
      <c r="EE4" s="449">
        <v>20</v>
      </c>
      <c r="EF4" s="449">
        <v>27</v>
      </c>
      <c r="EG4" s="441">
        <v>3</v>
      </c>
      <c r="EH4" s="441">
        <v>10</v>
      </c>
      <c r="EI4" s="441">
        <v>17</v>
      </c>
      <c r="EJ4" s="441">
        <v>24</v>
      </c>
      <c r="EK4" s="441">
        <v>31</v>
      </c>
      <c r="EL4" s="449">
        <v>7</v>
      </c>
      <c r="EM4" s="449">
        <v>14</v>
      </c>
      <c r="EN4" s="449">
        <v>21</v>
      </c>
      <c r="EO4" s="449">
        <v>28</v>
      </c>
      <c r="EP4" s="440">
        <v>7</v>
      </c>
      <c r="EQ4" s="440">
        <v>14</v>
      </c>
      <c r="ER4" s="440">
        <v>21</v>
      </c>
      <c r="ES4" s="440">
        <v>28</v>
      </c>
      <c r="ET4" s="448">
        <v>3</v>
      </c>
      <c r="EU4" s="448">
        <v>10</v>
      </c>
      <c r="EV4" s="448">
        <v>17</v>
      </c>
      <c r="EW4" s="448">
        <v>24</v>
      </c>
      <c r="EX4" s="440">
        <v>1</v>
      </c>
      <c r="EY4" s="440">
        <v>8</v>
      </c>
      <c r="EZ4" s="440">
        <v>15</v>
      </c>
      <c r="FA4" s="440">
        <v>22</v>
      </c>
      <c r="FB4" s="441">
        <v>29</v>
      </c>
      <c r="FC4" s="449">
        <v>5</v>
      </c>
      <c r="FD4" s="449">
        <v>12</v>
      </c>
      <c r="FE4" s="449">
        <v>19</v>
      </c>
      <c r="FF4" s="449">
        <v>26</v>
      </c>
      <c r="FG4" s="441">
        <v>4</v>
      </c>
      <c r="FH4" s="441">
        <v>11</v>
      </c>
      <c r="FI4" s="441">
        <v>18</v>
      </c>
      <c r="FJ4" s="441">
        <v>25</v>
      </c>
      <c r="FK4" s="449">
        <v>1</v>
      </c>
      <c r="FL4" s="449">
        <v>8</v>
      </c>
      <c r="FM4" s="449">
        <v>15</v>
      </c>
      <c r="FN4" s="449">
        <v>22</v>
      </c>
      <c r="FO4" s="448">
        <v>29</v>
      </c>
      <c r="FP4" s="440">
        <v>5</v>
      </c>
      <c r="FQ4" s="440">
        <v>12</v>
      </c>
      <c r="FR4" s="440">
        <v>19</v>
      </c>
      <c r="FS4" s="440">
        <v>26</v>
      </c>
      <c r="FT4" s="448">
        <v>3</v>
      </c>
      <c r="FU4" s="448">
        <v>10</v>
      </c>
      <c r="FV4" s="448">
        <v>17</v>
      </c>
      <c r="FW4" s="448">
        <v>24</v>
      </c>
      <c r="FX4" s="448">
        <v>31</v>
      </c>
      <c r="FY4" s="440">
        <v>8</v>
      </c>
      <c r="FZ4" s="440">
        <v>15</v>
      </c>
      <c r="GA4" s="440">
        <v>22</v>
      </c>
      <c r="GB4" s="441">
        <v>29</v>
      </c>
      <c r="GC4" s="449">
        <v>6</v>
      </c>
      <c r="GD4" s="449">
        <v>13</v>
      </c>
      <c r="GE4" s="449">
        <v>20</v>
      </c>
      <c r="GF4" s="449">
        <v>27</v>
      </c>
      <c r="GG4" s="441">
        <v>3</v>
      </c>
      <c r="GH4" s="441">
        <v>10</v>
      </c>
      <c r="GI4" s="441">
        <v>17</v>
      </c>
      <c r="GJ4" s="441">
        <v>24</v>
      </c>
      <c r="GK4" s="441">
        <v>31</v>
      </c>
      <c r="GL4" s="449">
        <v>7</v>
      </c>
      <c r="GM4" s="449">
        <v>14</v>
      </c>
      <c r="GN4" s="449">
        <v>21</v>
      </c>
      <c r="GO4" s="449">
        <v>28</v>
      </c>
      <c r="GP4" s="440">
        <v>7</v>
      </c>
      <c r="GQ4" s="440">
        <v>14</v>
      </c>
      <c r="GR4" s="440">
        <v>21</v>
      </c>
      <c r="GS4" s="440">
        <v>28</v>
      </c>
      <c r="GT4" s="448">
        <v>3</v>
      </c>
      <c r="GU4" s="448">
        <v>10</v>
      </c>
      <c r="GV4" s="448">
        <v>17</v>
      </c>
      <c r="GW4" s="448">
        <v>24</v>
      </c>
      <c r="GX4" s="440">
        <v>1</v>
      </c>
      <c r="GY4" s="440">
        <v>8</v>
      </c>
      <c r="GZ4" s="440">
        <v>15</v>
      </c>
      <c r="HA4" s="440">
        <v>22</v>
      </c>
      <c r="HB4" s="441">
        <v>29</v>
      </c>
      <c r="HC4" s="449">
        <v>5</v>
      </c>
      <c r="HD4" s="449">
        <v>12</v>
      </c>
      <c r="HE4" s="449">
        <v>19</v>
      </c>
      <c r="HF4" s="449">
        <v>26</v>
      </c>
      <c r="HG4" s="441">
        <v>4</v>
      </c>
      <c r="HH4" s="441">
        <v>11</v>
      </c>
      <c r="HI4" s="441">
        <v>18</v>
      </c>
      <c r="HJ4" s="441">
        <v>25</v>
      </c>
      <c r="HK4" s="449">
        <v>1</v>
      </c>
      <c r="HL4" s="449">
        <v>8</v>
      </c>
      <c r="HM4" s="449">
        <v>15</v>
      </c>
      <c r="HN4" s="449">
        <v>22</v>
      </c>
      <c r="HO4" s="448">
        <v>29</v>
      </c>
      <c r="HP4" s="440">
        <v>5</v>
      </c>
      <c r="HQ4" s="440">
        <v>12</v>
      </c>
      <c r="HR4" s="440">
        <v>19</v>
      </c>
      <c r="HS4" s="440">
        <v>26</v>
      </c>
      <c r="HT4" s="448">
        <v>3</v>
      </c>
      <c r="HU4" s="448">
        <v>10</v>
      </c>
      <c r="HV4" s="448">
        <v>17</v>
      </c>
      <c r="HW4" s="448">
        <v>24</v>
      </c>
      <c r="HX4" s="448">
        <v>31</v>
      </c>
      <c r="HY4" s="440">
        <v>8</v>
      </c>
      <c r="HZ4" s="440">
        <v>15</v>
      </c>
      <c r="IA4" s="440">
        <v>22</v>
      </c>
      <c r="IB4" s="441">
        <v>29</v>
      </c>
      <c r="IC4" s="449">
        <v>6</v>
      </c>
      <c r="ID4" s="449">
        <v>13</v>
      </c>
      <c r="IE4" s="449">
        <v>20</v>
      </c>
      <c r="IF4" s="449">
        <v>27</v>
      </c>
      <c r="IG4" s="441">
        <v>3</v>
      </c>
      <c r="IH4" s="441">
        <v>10</v>
      </c>
      <c r="II4" s="441">
        <v>17</v>
      </c>
      <c r="IJ4" s="441">
        <v>24</v>
      </c>
      <c r="IK4" s="441">
        <v>31</v>
      </c>
      <c r="IL4" s="449">
        <v>7</v>
      </c>
      <c r="IM4" s="449">
        <v>14</v>
      </c>
      <c r="IN4" s="449">
        <v>21</v>
      </c>
      <c r="IO4" s="449">
        <v>28</v>
      </c>
      <c r="IP4" s="440">
        <v>7</v>
      </c>
      <c r="IQ4" s="440">
        <v>14</v>
      </c>
      <c r="IR4" s="440">
        <v>21</v>
      </c>
      <c r="IS4" s="440">
        <v>28</v>
      </c>
      <c r="IT4" s="448">
        <v>3</v>
      </c>
      <c r="IU4" s="448">
        <v>10</v>
      </c>
      <c r="IV4" s="448">
        <v>17</v>
      </c>
      <c r="IW4" s="448">
        <v>24</v>
      </c>
      <c r="IX4" s="440">
        <v>1</v>
      </c>
      <c r="IY4" s="440">
        <v>8</v>
      </c>
      <c r="IZ4" s="440">
        <v>15</v>
      </c>
      <c r="JA4" s="440">
        <v>22</v>
      </c>
      <c r="JB4" s="441">
        <v>29</v>
      </c>
      <c r="JC4" s="449">
        <v>5</v>
      </c>
      <c r="JD4" s="449">
        <v>12</v>
      </c>
      <c r="JE4" s="449">
        <v>19</v>
      </c>
      <c r="JF4" s="449">
        <v>26</v>
      </c>
      <c r="JG4" s="441">
        <v>4</v>
      </c>
      <c r="JH4" s="441">
        <v>11</v>
      </c>
      <c r="JI4" s="441">
        <v>18</v>
      </c>
      <c r="JJ4" s="441">
        <v>25</v>
      </c>
      <c r="JK4" s="449">
        <v>1</v>
      </c>
      <c r="JL4" s="449">
        <v>8</v>
      </c>
      <c r="JM4" s="449">
        <v>15</v>
      </c>
      <c r="JN4" s="449">
        <v>22</v>
      </c>
      <c r="JO4" s="448">
        <v>29</v>
      </c>
      <c r="JP4" s="440">
        <v>5</v>
      </c>
      <c r="JQ4" s="440">
        <v>12</v>
      </c>
      <c r="JR4" s="440">
        <v>19</v>
      </c>
      <c r="JS4" s="440">
        <v>26</v>
      </c>
      <c r="JT4" s="448">
        <v>3</v>
      </c>
      <c r="JU4" s="448">
        <v>10</v>
      </c>
      <c r="JV4" s="448">
        <v>17</v>
      </c>
      <c r="JW4" s="448">
        <v>24</v>
      </c>
      <c r="JX4" s="448">
        <v>31</v>
      </c>
      <c r="JY4" s="440">
        <v>8</v>
      </c>
      <c r="JZ4" s="440">
        <v>15</v>
      </c>
      <c r="KA4" s="440">
        <v>22</v>
      </c>
      <c r="KB4" s="441">
        <v>29</v>
      </c>
      <c r="KC4" s="449">
        <v>6</v>
      </c>
      <c r="KD4" s="449">
        <v>13</v>
      </c>
      <c r="KE4" s="449">
        <v>20</v>
      </c>
      <c r="KF4" s="449">
        <v>27</v>
      </c>
    </row>
    <row r="5" spans="1:292" ht="70" hidden="1" customHeight="1">
      <c r="A5" s="288" t="s">
        <v>29</v>
      </c>
      <c r="B5" s="289"/>
      <c r="C5" s="289"/>
      <c r="D5" s="289"/>
      <c r="E5" s="289"/>
      <c r="F5" s="290">
        <v>45159</v>
      </c>
      <c r="G5" s="41" t="s">
        <v>30</v>
      </c>
      <c r="H5" s="41"/>
      <c r="I5" s="41" t="s">
        <v>31</v>
      </c>
      <c r="J5" s="291" t="s">
        <v>32</v>
      </c>
      <c r="K5" s="233" t="s">
        <v>33</v>
      </c>
      <c r="L5" s="38" t="s">
        <v>34</v>
      </c>
      <c r="M5" s="38"/>
      <c r="N5" s="39">
        <v>45531</v>
      </c>
      <c r="O5" s="40"/>
      <c r="P5" s="451">
        <v>45342</v>
      </c>
      <c r="Q5" s="451">
        <f t="shared" ref="Q5:Q11" si="0">P5+50</f>
        <v>45392</v>
      </c>
      <c r="R5" s="452">
        <f t="shared" ref="R5:R11" si="1">T5-55</f>
        <v>45445</v>
      </c>
      <c r="S5" s="451">
        <v>45493</v>
      </c>
      <c r="T5" s="453">
        <v>45500</v>
      </c>
      <c r="U5" s="293">
        <f>_xlfn.DAYS(T5,N5)</f>
        <v>-31</v>
      </c>
      <c r="V5" s="454" t="s">
        <v>35</v>
      </c>
      <c r="W5" s="35" t="s">
        <v>36</v>
      </c>
      <c r="X5" s="455"/>
      <c r="Y5" s="455"/>
      <c r="Z5" s="455"/>
      <c r="AA5" s="455"/>
      <c r="AB5" s="455"/>
      <c r="AC5" s="455"/>
      <c r="AD5" s="455"/>
      <c r="AE5" s="456"/>
      <c r="AF5" s="456"/>
      <c r="AG5" s="456"/>
      <c r="AH5" s="456"/>
      <c r="AI5" s="456"/>
      <c r="AJ5" s="457"/>
      <c r="AK5" s="457"/>
      <c r="AL5" s="456"/>
      <c r="AM5" s="456"/>
      <c r="AN5" s="456"/>
      <c r="AO5" s="456"/>
      <c r="AP5" s="456"/>
      <c r="AQ5" s="458"/>
      <c r="AR5" s="458"/>
      <c r="AS5" s="456"/>
      <c r="AT5" s="456"/>
      <c r="AU5" s="456"/>
      <c r="AV5" s="456"/>
      <c r="AW5" s="456"/>
      <c r="AX5" s="456"/>
      <c r="AY5" s="456"/>
      <c r="AZ5" s="456"/>
      <c r="BA5" s="456"/>
      <c r="BB5" s="456"/>
      <c r="BC5" s="456"/>
      <c r="BD5" s="456"/>
      <c r="BE5" s="456"/>
      <c r="BF5" s="456"/>
      <c r="BG5" s="456"/>
      <c r="BH5" s="456"/>
      <c r="BI5" s="456"/>
      <c r="BJ5" s="456"/>
      <c r="BK5" s="456"/>
      <c r="BL5" s="456"/>
      <c r="BM5" s="456"/>
      <c r="BN5" s="456"/>
      <c r="BO5" s="456"/>
      <c r="BP5" s="456"/>
      <c r="BQ5" s="456"/>
      <c r="BR5" s="456"/>
      <c r="BS5" s="456"/>
      <c r="BT5" s="456"/>
      <c r="BU5" s="456"/>
      <c r="BV5" s="456"/>
      <c r="BW5" s="456"/>
      <c r="BX5" s="456"/>
      <c r="BY5" s="456"/>
      <c r="BZ5" s="456"/>
      <c r="CA5" s="456"/>
      <c r="CB5" s="456"/>
      <c r="CC5" s="456"/>
      <c r="CD5" s="459"/>
      <c r="CE5" s="456"/>
      <c r="CF5" s="456"/>
      <c r="CG5" s="456"/>
      <c r="CH5" s="456"/>
      <c r="CI5" s="456"/>
      <c r="CJ5" s="456"/>
      <c r="CK5" s="456"/>
      <c r="CL5" s="456"/>
      <c r="CM5" s="457"/>
      <c r="CN5" s="457"/>
      <c r="CO5" s="456"/>
      <c r="CP5" s="456"/>
      <c r="CQ5" s="456"/>
      <c r="CR5" s="456"/>
      <c r="CS5" s="456"/>
      <c r="CT5" s="456"/>
      <c r="CU5" s="456"/>
      <c r="CV5" s="456"/>
      <c r="CW5" s="456"/>
      <c r="CX5" s="456"/>
      <c r="CY5" s="456"/>
      <c r="CZ5" s="456"/>
      <c r="DA5" s="456"/>
      <c r="DB5" s="456"/>
      <c r="DC5" s="456"/>
      <c r="DD5" s="456"/>
      <c r="DE5" s="456"/>
      <c r="DF5" s="456"/>
      <c r="DG5" s="456"/>
      <c r="DH5" s="456"/>
      <c r="DI5" s="456"/>
      <c r="DJ5" s="456"/>
      <c r="DK5" s="456"/>
      <c r="DL5" s="456"/>
      <c r="DM5" s="456"/>
      <c r="DN5" s="456"/>
      <c r="DO5" s="456"/>
      <c r="DP5" s="456"/>
      <c r="DQ5" s="456"/>
      <c r="DR5" s="456"/>
      <c r="DS5" s="456"/>
      <c r="DT5" s="456"/>
      <c r="DU5" s="456"/>
      <c r="DV5" s="456"/>
      <c r="DW5" s="456"/>
      <c r="DX5" s="456"/>
      <c r="DY5" s="456"/>
      <c r="DZ5" s="456"/>
      <c r="EA5" s="456"/>
      <c r="EB5" s="456"/>
      <c r="EC5" s="456"/>
      <c r="ED5" s="456"/>
      <c r="EE5" s="456"/>
      <c r="EF5" s="456"/>
      <c r="EG5" s="456"/>
      <c r="EH5" s="456"/>
      <c r="EI5" s="456"/>
      <c r="EJ5" s="456"/>
      <c r="EK5" s="456"/>
      <c r="EL5" s="457"/>
      <c r="EM5" s="457"/>
      <c r="EN5" s="456"/>
      <c r="EO5" s="456"/>
      <c r="EP5" s="456"/>
      <c r="EQ5" s="456"/>
      <c r="ER5" s="456"/>
      <c r="ES5" s="456"/>
      <c r="ET5" s="456"/>
      <c r="EU5" s="456"/>
      <c r="EV5" s="456"/>
      <c r="EW5" s="456"/>
      <c r="EX5" s="456"/>
      <c r="EY5" s="456"/>
      <c r="EZ5" s="456"/>
      <c r="FA5" s="456"/>
      <c r="FB5" s="456"/>
      <c r="FC5" s="456"/>
      <c r="FD5" s="456"/>
      <c r="FE5" s="456"/>
      <c r="FF5" s="456"/>
      <c r="FG5" s="456"/>
      <c r="FH5" s="456"/>
      <c r="FI5" s="456"/>
      <c r="FJ5" s="456"/>
      <c r="FK5" s="456"/>
      <c r="FL5" s="456"/>
      <c r="FM5" s="456"/>
      <c r="FN5" s="456"/>
      <c r="FO5" s="456"/>
      <c r="FP5" s="456"/>
      <c r="FQ5" s="456"/>
      <c r="FR5" s="456"/>
      <c r="FS5" s="456"/>
      <c r="FT5" s="456"/>
      <c r="FU5" s="456"/>
      <c r="FV5" s="456"/>
      <c r="FW5" s="456"/>
      <c r="FX5" s="456"/>
      <c r="FY5" s="456"/>
      <c r="FZ5" s="456"/>
      <c r="GA5" s="456"/>
      <c r="GB5" s="456"/>
      <c r="GC5" s="456"/>
      <c r="GD5" s="456"/>
      <c r="GE5" s="456"/>
      <c r="GF5" s="456"/>
      <c r="GG5" s="456"/>
      <c r="GH5" s="456"/>
      <c r="GI5" s="456"/>
      <c r="GJ5" s="456"/>
      <c r="GK5" s="456"/>
      <c r="GL5" s="456"/>
      <c r="GM5" s="456"/>
      <c r="GN5" s="456"/>
      <c r="GO5" s="456"/>
      <c r="GP5" s="456"/>
      <c r="GQ5" s="456"/>
      <c r="GR5" s="456"/>
      <c r="GS5" s="456"/>
      <c r="GT5" s="456"/>
      <c r="GU5" s="456"/>
      <c r="GV5" s="456"/>
      <c r="GW5" s="456"/>
      <c r="GX5" s="456"/>
      <c r="GY5" s="456"/>
      <c r="GZ5" s="456"/>
      <c r="HA5" s="456"/>
      <c r="HB5" s="456"/>
      <c r="HC5" s="456"/>
      <c r="HD5" s="456"/>
      <c r="HE5" s="456"/>
      <c r="HF5" s="456"/>
      <c r="HG5" s="456"/>
      <c r="HH5" s="456"/>
      <c r="HI5" s="456"/>
      <c r="HJ5" s="456"/>
      <c r="HK5" s="456"/>
      <c r="HL5" s="456"/>
      <c r="HM5" s="456"/>
      <c r="HN5" s="456"/>
      <c r="HO5" s="456"/>
    </row>
    <row r="6" spans="1:292" ht="70" hidden="1" customHeight="1">
      <c r="A6" s="288" t="s">
        <v>37</v>
      </c>
      <c r="B6" s="289"/>
      <c r="C6" s="289"/>
      <c r="D6" s="289"/>
      <c r="E6" s="289"/>
      <c r="F6" s="290">
        <v>45233</v>
      </c>
      <c r="G6" s="41" t="s">
        <v>30</v>
      </c>
      <c r="H6" s="41"/>
      <c r="I6" s="41" t="s">
        <v>38</v>
      </c>
      <c r="J6" s="291" t="s">
        <v>39</v>
      </c>
      <c r="K6" s="233" t="s">
        <v>33</v>
      </c>
      <c r="L6" s="41" t="s">
        <v>34</v>
      </c>
      <c r="M6" s="41"/>
      <c r="N6" s="39">
        <v>45550</v>
      </c>
      <c r="O6" s="39"/>
      <c r="P6" s="451">
        <v>45378</v>
      </c>
      <c r="Q6" s="451">
        <f t="shared" si="0"/>
        <v>45428</v>
      </c>
      <c r="R6" s="460">
        <f t="shared" si="1"/>
        <v>45494</v>
      </c>
      <c r="S6" s="461">
        <v>45514</v>
      </c>
      <c r="T6" s="462">
        <v>45549</v>
      </c>
      <c r="U6" s="293">
        <f>_xlfn.DAYS(T6,N6)</f>
        <v>-1</v>
      </c>
      <c r="V6" s="253" t="s">
        <v>40</v>
      </c>
      <c r="W6" s="463" t="s">
        <v>41</v>
      </c>
      <c r="X6" s="456"/>
      <c r="Y6" s="456"/>
      <c r="Z6" s="456"/>
      <c r="AA6" s="456"/>
      <c r="AB6" s="456"/>
      <c r="AC6" s="456"/>
      <c r="AD6" s="456"/>
      <c r="AE6" s="456"/>
      <c r="AF6" s="456"/>
      <c r="AG6" s="456"/>
      <c r="AH6" s="456"/>
      <c r="AI6" s="456"/>
      <c r="AJ6" s="457"/>
      <c r="AK6" s="457"/>
      <c r="AL6" s="456"/>
      <c r="AM6" s="456"/>
      <c r="AN6" s="456"/>
      <c r="AO6" s="456"/>
      <c r="AP6" s="456"/>
      <c r="AQ6" s="456"/>
      <c r="AR6" s="456"/>
      <c r="AS6" s="456"/>
      <c r="AT6" s="456"/>
      <c r="AU6" s="456"/>
      <c r="AV6" s="456"/>
      <c r="AW6" s="456"/>
      <c r="AX6" s="456"/>
      <c r="AY6" s="456"/>
      <c r="AZ6" s="456"/>
      <c r="BA6" s="456"/>
      <c r="BB6" s="456"/>
      <c r="BC6" s="456"/>
      <c r="BD6" s="456"/>
      <c r="BE6" s="456"/>
      <c r="BF6" s="456"/>
      <c r="BG6" s="456"/>
      <c r="BH6" s="456"/>
      <c r="BI6" s="456"/>
      <c r="BJ6" s="456"/>
      <c r="BK6" s="456"/>
      <c r="BL6" s="456"/>
      <c r="BM6" s="456"/>
      <c r="BN6" s="456"/>
      <c r="BO6" s="456"/>
      <c r="BP6" s="456"/>
      <c r="BQ6" s="456"/>
      <c r="BR6" s="456"/>
      <c r="BS6" s="456"/>
      <c r="BT6" s="456"/>
      <c r="BU6" s="456"/>
      <c r="BV6" s="456"/>
      <c r="BW6" s="456"/>
      <c r="BX6" s="456"/>
      <c r="BY6" s="456"/>
      <c r="BZ6" s="456"/>
      <c r="CA6" s="456"/>
      <c r="CB6" s="456"/>
      <c r="CC6" s="456"/>
      <c r="CD6" s="459"/>
      <c r="CE6" s="456"/>
      <c r="CF6" s="456"/>
      <c r="CG6" s="456"/>
      <c r="CH6" s="456"/>
      <c r="CI6" s="456"/>
      <c r="CJ6" s="456"/>
      <c r="CK6" s="456"/>
      <c r="CL6" s="456"/>
      <c r="CM6" s="457"/>
      <c r="CN6" s="457"/>
      <c r="CO6" s="456"/>
      <c r="CP6" s="456"/>
      <c r="CQ6" s="456"/>
      <c r="CR6" s="456"/>
      <c r="CS6" s="456"/>
      <c r="CT6" s="456"/>
      <c r="CU6" s="456"/>
      <c r="CV6" s="456"/>
      <c r="CW6" s="456"/>
      <c r="CX6" s="456"/>
      <c r="CY6" s="456"/>
      <c r="CZ6" s="456"/>
      <c r="DA6" s="456"/>
      <c r="DB6" s="456"/>
      <c r="DC6" s="456"/>
      <c r="DD6" s="456"/>
      <c r="DE6" s="456"/>
      <c r="DF6" s="456"/>
      <c r="DG6" s="456"/>
      <c r="DH6" s="456"/>
      <c r="DI6" s="456"/>
      <c r="DJ6" s="456"/>
      <c r="DK6" s="456"/>
      <c r="DL6" s="456"/>
      <c r="DM6" s="456"/>
      <c r="DN6" s="456"/>
      <c r="DO6" s="456"/>
      <c r="DP6" s="456"/>
      <c r="DQ6" s="456"/>
      <c r="DR6" s="456"/>
      <c r="DS6" s="456"/>
      <c r="DT6" s="456"/>
      <c r="DU6" s="456"/>
      <c r="DV6" s="456"/>
      <c r="DW6" s="456"/>
      <c r="DX6" s="456"/>
      <c r="DY6" s="456"/>
      <c r="DZ6" s="456"/>
      <c r="EA6" s="456"/>
      <c r="EB6" s="456"/>
      <c r="EC6" s="456"/>
      <c r="ED6" s="456"/>
      <c r="EE6" s="456"/>
      <c r="EF6" s="456"/>
      <c r="EG6" s="456"/>
      <c r="EH6" s="456"/>
      <c r="EI6" s="456"/>
      <c r="EJ6" s="456"/>
      <c r="EK6" s="456"/>
      <c r="EL6" s="457"/>
      <c r="EM6" s="457"/>
      <c r="EN6" s="456"/>
      <c r="EO6" s="456"/>
      <c r="EP6" s="456"/>
      <c r="EQ6" s="456"/>
      <c r="ER6" s="456"/>
      <c r="ES6" s="456"/>
      <c r="ET6" s="456"/>
      <c r="EU6" s="456"/>
      <c r="EV6" s="456"/>
      <c r="EW6" s="456"/>
      <c r="EX6" s="456"/>
      <c r="EY6" s="456"/>
      <c r="EZ6" s="456"/>
      <c r="FA6" s="456"/>
      <c r="FB6" s="456"/>
      <c r="FC6" s="456"/>
      <c r="FD6" s="456"/>
      <c r="FE6" s="456"/>
      <c r="FF6" s="456"/>
      <c r="FG6" s="456"/>
      <c r="FH6" s="456"/>
      <c r="FI6" s="456"/>
      <c r="FJ6" s="456"/>
      <c r="FK6" s="456"/>
      <c r="FL6" s="456"/>
      <c r="FM6" s="456"/>
      <c r="FN6" s="456"/>
      <c r="FO6" s="456"/>
      <c r="FP6" s="456"/>
      <c r="FQ6" s="456"/>
      <c r="FR6" s="456"/>
      <c r="FS6" s="456"/>
      <c r="FT6" s="456"/>
      <c r="FU6" s="456"/>
      <c r="FV6" s="456"/>
      <c r="FW6" s="456"/>
      <c r="FX6" s="456"/>
      <c r="FY6" s="456"/>
      <c r="FZ6" s="456"/>
      <c r="GA6" s="456"/>
      <c r="GB6" s="456"/>
      <c r="GC6" s="456"/>
      <c r="GD6" s="456"/>
      <c r="GE6" s="456"/>
      <c r="GF6" s="456"/>
      <c r="GG6" s="456"/>
      <c r="GH6" s="456"/>
      <c r="GI6" s="456"/>
      <c r="GJ6" s="456"/>
      <c r="GK6" s="456"/>
      <c r="GL6" s="456"/>
      <c r="GM6" s="456"/>
      <c r="GN6" s="456"/>
      <c r="GO6" s="456"/>
      <c r="GP6" s="456"/>
      <c r="GQ6" s="456"/>
      <c r="GR6" s="456"/>
      <c r="GS6" s="456"/>
      <c r="GT6" s="456"/>
      <c r="GU6" s="456"/>
      <c r="GV6" s="456"/>
      <c r="GW6" s="456"/>
      <c r="GX6" s="456"/>
      <c r="GY6" s="456"/>
      <c r="GZ6" s="456"/>
      <c r="HA6" s="456"/>
      <c r="HB6" s="456"/>
      <c r="HC6" s="456"/>
      <c r="HD6" s="456"/>
      <c r="HE6" s="456"/>
      <c r="HF6" s="456"/>
      <c r="HG6" s="456"/>
      <c r="HH6" s="456"/>
      <c r="HI6" s="456"/>
      <c r="HJ6" s="456"/>
      <c r="HK6" s="456"/>
      <c r="HL6" s="456"/>
      <c r="HM6" s="456"/>
      <c r="HN6" s="456"/>
      <c r="HO6" s="456"/>
    </row>
    <row r="7" spans="1:292" ht="70" hidden="1" customHeight="1">
      <c r="A7" s="288" t="s">
        <v>42</v>
      </c>
      <c r="B7" s="289"/>
      <c r="C7" s="289"/>
      <c r="D7" s="289"/>
      <c r="E7" s="289"/>
      <c r="F7" s="290">
        <v>45236</v>
      </c>
      <c r="G7" s="41" t="s">
        <v>30</v>
      </c>
      <c r="H7" s="41"/>
      <c r="I7" s="41" t="s">
        <v>43</v>
      </c>
      <c r="J7" s="291" t="s">
        <v>44</v>
      </c>
      <c r="K7" s="233" t="s">
        <v>33</v>
      </c>
      <c r="L7" s="41" t="s">
        <v>34</v>
      </c>
      <c r="M7" s="41"/>
      <c r="N7" s="39">
        <v>45577</v>
      </c>
      <c r="O7" s="39"/>
      <c r="P7" s="451">
        <v>45399</v>
      </c>
      <c r="Q7" s="451">
        <f t="shared" si="0"/>
        <v>45449</v>
      </c>
      <c r="R7" s="460">
        <f t="shared" si="1"/>
        <v>45494</v>
      </c>
      <c r="S7" s="451">
        <v>45542</v>
      </c>
      <c r="T7" s="453">
        <v>45549</v>
      </c>
      <c r="U7" s="293">
        <f>_xlfn.DAYS(T7,N7)</f>
        <v>-28</v>
      </c>
      <c r="V7" s="454" t="s">
        <v>45</v>
      </c>
      <c r="W7" s="215" t="s">
        <v>46</v>
      </c>
      <c r="X7" s="464" t="s">
        <v>34</v>
      </c>
      <c r="Y7" s="464" t="s">
        <v>34</v>
      </c>
      <c r="Z7" s="23" t="s">
        <v>34</v>
      </c>
      <c r="AA7" s="465"/>
      <c r="AB7" s="465"/>
      <c r="AC7" s="465"/>
      <c r="AD7" s="465"/>
      <c r="AE7" s="465"/>
      <c r="AF7" s="465"/>
      <c r="AG7" s="465"/>
      <c r="AH7" s="456"/>
      <c r="AI7" s="456"/>
      <c r="AJ7" s="457"/>
      <c r="AK7" s="457"/>
      <c r="AL7" s="456"/>
      <c r="AM7" s="456"/>
      <c r="AN7" s="456"/>
      <c r="AO7" s="456"/>
      <c r="AP7" s="456"/>
      <c r="AQ7" s="456"/>
      <c r="AR7" s="456"/>
      <c r="AS7" s="456"/>
      <c r="AT7" s="456"/>
      <c r="AU7" s="456"/>
      <c r="AV7" s="456"/>
      <c r="AW7" s="456"/>
      <c r="AX7" s="456"/>
      <c r="AY7" s="456"/>
      <c r="AZ7" s="456"/>
      <c r="BA7" s="456"/>
      <c r="BB7" s="456"/>
      <c r="BC7" s="456"/>
      <c r="BD7" s="456"/>
      <c r="BE7" s="456"/>
      <c r="BF7" s="456"/>
      <c r="BG7" s="456"/>
      <c r="BH7" s="456"/>
      <c r="BI7" s="456"/>
      <c r="BJ7" s="456"/>
      <c r="BK7" s="456"/>
      <c r="BL7" s="456"/>
      <c r="BM7" s="456"/>
      <c r="BN7" s="456"/>
      <c r="BO7" s="456"/>
      <c r="BP7" s="456"/>
      <c r="BQ7" s="456"/>
      <c r="BR7" s="456"/>
      <c r="BS7" s="456"/>
      <c r="BT7" s="456"/>
      <c r="BU7" s="456"/>
      <c r="BV7" s="456"/>
      <c r="BW7" s="456"/>
      <c r="BX7" s="456"/>
      <c r="BY7" s="456"/>
      <c r="BZ7" s="456"/>
      <c r="CA7" s="456"/>
      <c r="CB7" s="456"/>
      <c r="CC7" s="456"/>
      <c r="CD7" s="459"/>
      <c r="CE7" s="456"/>
      <c r="CF7" s="456"/>
      <c r="CG7" s="456"/>
      <c r="CH7" s="456"/>
      <c r="CI7" s="456"/>
      <c r="CJ7" s="456"/>
      <c r="CK7" s="456"/>
      <c r="CL7" s="456"/>
      <c r="CM7" s="457"/>
      <c r="CN7" s="457"/>
      <c r="CO7" s="456"/>
      <c r="CP7" s="456"/>
      <c r="CQ7" s="456"/>
      <c r="CR7" s="456"/>
      <c r="CS7" s="456"/>
      <c r="CT7" s="456"/>
      <c r="CU7" s="456"/>
      <c r="CV7" s="456"/>
      <c r="CW7" s="456"/>
      <c r="CX7" s="456"/>
      <c r="CY7" s="456"/>
      <c r="CZ7" s="456"/>
      <c r="DA7" s="456"/>
      <c r="DB7" s="456"/>
      <c r="DC7" s="456"/>
      <c r="DD7" s="456"/>
      <c r="DE7" s="456"/>
      <c r="DF7" s="456"/>
      <c r="DG7" s="456"/>
      <c r="DH7" s="456"/>
      <c r="DI7" s="456"/>
      <c r="DJ7" s="456"/>
      <c r="DK7" s="456"/>
      <c r="DL7" s="456"/>
      <c r="DM7" s="456"/>
      <c r="DN7" s="456"/>
      <c r="DO7" s="456"/>
      <c r="DP7" s="456"/>
      <c r="DQ7" s="456"/>
      <c r="DR7" s="456"/>
      <c r="DS7" s="456"/>
      <c r="DT7" s="456"/>
      <c r="DU7" s="456"/>
      <c r="DV7" s="456"/>
      <c r="DW7" s="456"/>
      <c r="DX7" s="456"/>
      <c r="DY7" s="456"/>
      <c r="DZ7" s="456"/>
      <c r="EA7" s="456"/>
      <c r="EB7" s="456"/>
      <c r="EC7" s="456"/>
      <c r="ED7" s="456"/>
      <c r="EE7" s="456"/>
      <c r="EF7" s="456"/>
      <c r="EG7" s="456"/>
      <c r="EH7" s="456"/>
      <c r="EI7" s="456"/>
      <c r="EJ7" s="456"/>
      <c r="EK7" s="456"/>
      <c r="EL7" s="457"/>
      <c r="EM7" s="457"/>
      <c r="EN7" s="456"/>
      <c r="EO7" s="456"/>
      <c r="EP7" s="456"/>
      <c r="EQ7" s="456"/>
      <c r="ER7" s="456"/>
      <c r="ES7" s="456"/>
      <c r="ET7" s="456"/>
      <c r="EU7" s="456"/>
      <c r="EV7" s="456"/>
      <c r="EW7" s="456"/>
      <c r="EX7" s="456"/>
      <c r="EY7" s="456"/>
      <c r="EZ7" s="456"/>
      <c r="FA7" s="456"/>
      <c r="FB7" s="456"/>
      <c r="FC7" s="456"/>
      <c r="FD7" s="456"/>
      <c r="FE7" s="456"/>
      <c r="FF7" s="456"/>
      <c r="FG7" s="456"/>
      <c r="FH7" s="456"/>
      <c r="FI7" s="456"/>
      <c r="FJ7" s="456"/>
      <c r="FK7" s="456"/>
      <c r="FL7" s="456"/>
      <c r="FM7" s="456"/>
      <c r="FN7" s="456"/>
      <c r="FO7" s="456"/>
      <c r="FP7" s="456"/>
      <c r="FQ7" s="456"/>
      <c r="FR7" s="456"/>
      <c r="FS7" s="456"/>
      <c r="FT7" s="456"/>
      <c r="FU7" s="456"/>
      <c r="FV7" s="456"/>
      <c r="FW7" s="456"/>
      <c r="FX7" s="456"/>
      <c r="FY7" s="456"/>
      <c r="FZ7" s="456"/>
      <c r="GA7" s="456"/>
      <c r="GB7" s="456"/>
      <c r="GC7" s="456"/>
      <c r="GD7" s="456"/>
      <c r="GE7" s="456"/>
      <c r="GF7" s="456"/>
      <c r="GG7" s="456"/>
      <c r="GH7" s="456"/>
      <c r="GI7" s="456"/>
      <c r="GJ7" s="456"/>
      <c r="GK7" s="456"/>
      <c r="GL7" s="456"/>
      <c r="GM7" s="456"/>
      <c r="GN7" s="456"/>
      <c r="GO7" s="456"/>
      <c r="GP7" s="456"/>
      <c r="GQ7" s="456"/>
      <c r="GR7" s="456"/>
      <c r="GS7" s="456"/>
      <c r="GT7" s="456"/>
      <c r="GU7" s="456"/>
      <c r="GV7" s="456"/>
      <c r="GW7" s="456"/>
      <c r="GX7" s="456"/>
      <c r="GY7" s="456"/>
      <c r="GZ7" s="456"/>
      <c r="HA7" s="456"/>
      <c r="HB7" s="456"/>
      <c r="HC7" s="456"/>
      <c r="HD7" s="456"/>
      <c r="HE7" s="456"/>
      <c r="HF7" s="456"/>
      <c r="HG7" s="456"/>
      <c r="HH7" s="456"/>
      <c r="HI7" s="456"/>
      <c r="HJ7" s="456"/>
      <c r="HK7" s="456"/>
      <c r="HL7" s="456"/>
      <c r="HM7" s="456"/>
      <c r="HN7" s="456"/>
      <c r="HO7" s="456"/>
    </row>
    <row r="8" spans="1:292" ht="70" hidden="1" customHeight="1">
      <c r="A8" s="288" t="s">
        <v>47</v>
      </c>
      <c r="B8" s="289"/>
      <c r="C8" s="289"/>
      <c r="D8" s="289"/>
      <c r="E8" s="289"/>
      <c r="F8" s="294">
        <v>45316</v>
      </c>
      <c r="G8" s="41" t="s">
        <v>30</v>
      </c>
      <c r="H8" s="41"/>
      <c r="I8" s="41" t="s">
        <v>38</v>
      </c>
      <c r="J8" s="463" t="s">
        <v>48</v>
      </c>
      <c r="K8" s="233" t="s">
        <v>33</v>
      </c>
      <c r="L8" s="41" t="s">
        <v>34</v>
      </c>
      <c r="M8" s="41"/>
      <c r="N8" s="39">
        <v>45605</v>
      </c>
      <c r="O8" s="39"/>
      <c r="P8" s="451">
        <v>45427</v>
      </c>
      <c r="Q8" s="451">
        <f t="shared" si="0"/>
        <v>45477</v>
      </c>
      <c r="R8" s="460">
        <f t="shared" si="1"/>
        <v>45519</v>
      </c>
      <c r="S8" s="42">
        <v>45563</v>
      </c>
      <c r="T8" s="453">
        <v>45574</v>
      </c>
      <c r="U8" s="293">
        <f>_xlfn.DAYS(T8,N8)</f>
        <v>-31</v>
      </c>
      <c r="V8" s="254" t="s">
        <v>758</v>
      </c>
      <c r="W8" s="110" t="s">
        <v>49</v>
      </c>
      <c r="X8" s="464" t="s">
        <v>50</v>
      </c>
      <c r="Y8" s="464" t="s">
        <v>50</v>
      </c>
      <c r="Z8" s="23" t="s">
        <v>34</v>
      </c>
      <c r="AA8" s="465"/>
      <c r="AB8" s="465"/>
      <c r="AC8" s="465"/>
      <c r="AD8" s="465"/>
      <c r="AE8" s="465"/>
      <c r="AF8" s="465"/>
      <c r="AG8" s="465"/>
      <c r="AH8" s="456"/>
      <c r="AI8" s="456"/>
      <c r="AJ8" s="457"/>
      <c r="AK8" s="457"/>
      <c r="AL8" s="456"/>
      <c r="AM8" s="456"/>
      <c r="AN8" s="456"/>
      <c r="AO8" s="456"/>
      <c r="AP8" s="456"/>
      <c r="AQ8" s="456"/>
      <c r="AR8" s="456"/>
      <c r="AS8" s="456"/>
      <c r="AT8" s="456"/>
      <c r="AU8" s="456"/>
      <c r="AV8" s="456"/>
      <c r="AW8" s="456"/>
      <c r="AX8" s="456"/>
      <c r="AY8" s="456"/>
      <c r="AZ8" s="456"/>
      <c r="BA8" s="456"/>
      <c r="BB8" s="456"/>
      <c r="BC8" s="456"/>
      <c r="BD8" s="456"/>
      <c r="BE8" s="456"/>
      <c r="BF8" s="456"/>
      <c r="BG8" s="456"/>
      <c r="BH8" s="456"/>
      <c r="BI8" s="456"/>
      <c r="BJ8" s="456"/>
      <c r="BK8" s="456"/>
      <c r="BL8" s="456"/>
      <c r="BM8" s="456"/>
      <c r="BN8" s="456"/>
      <c r="BO8" s="456"/>
      <c r="BP8" s="456"/>
      <c r="BQ8" s="456"/>
      <c r="BR8" s="456"/>
      <c r="BS8" s="456"/>
      <c r="BT8" s="456"/>
      <c r="BU8" s="456"/>
      <c r="BV8" s="456"/>
      <c r="BW8" s="456"/>
      <c r="BX8" s="456"/>
      <c r="BY8" s="456"/>
      <c r="BZ8" s="456"/>
      <c r="CA8" s="456"/>
      <c r="CB8" s="456"/>
      <c r="CC8" s="456"/>
      <c r="CD8" s="459"/>
      <c r="CE8" s="456"/>
      <c r="CF8" s="456"/>
      <c r="CG8" s="456"/>
      <c r="CH8" s="456"/>
      <c r="CI8" s="456"/>
      <c r="CJ8" s="456"/>
      <c r="CK8" s="456"/>
      <c r="CL8" s="456"/>
      <c r="CM8" s="457"/>
      <c r="CN8" s="457"/>
      <c r="CO8" s="456"/>
      <c r="CP8" s="456"/>
      <c r="CQ8" s="456"/>
      <c r="CR8" s="456"/>
      <c r="CS8" s="456"/>
      <c r="CT8" s="456"/>
      <c r="CU8" s="456"/>
      <c r="CV8" s="456"/>
      <c r="CW8" s="456"/>
      <c r="CX8" s="456"/>
      <c r="CY8" s="456"/>
      <c r="CZ8" s="456"/>
      <c r="DA8" s="456"/>
      <c r="DB8" s="456"/>
      <c r="DC8" s="456"/>
      <c r="DD8" s="456"/>
      <c r="DE8" s="456"/>
      <c r="DF8" s="456"/>
      <c r="DG8" s="456"/>
      <c r="DH8" s="456"/>
      <c r="DI8" s="456"/>
      <c r="DJ8" s="456"/>
      <c r="DK8" s="456"/>
      <c r="DL8" s="456"/>
      <c r="DM8" s="456"/>
      <c r="DN8" s="456"/>
      <c r="DO8" s="456"/>
      <c r="DP8" s="456"/>
      <c r="DQ8" s="456"/>
      <c r="DR8" s="456"/>
      <c r="DS8" s="456"/>
      <c r="DT8" s="456"/>
      <c r="DU8" s="456"/>
      <c r="DV8" s="456"/>
      <c r="DW8" s="456"/>
      <c r="DX8" s="456"/>
      <c r="DY8" s="456"/>
      <c r="DZ8" s="456"/>
      <c r="EA8" s="456"/>
      <c r="EB8" s="456"/>
      <c r="EC8" s="456"/>
      <c r="ED8" s="456"/>
      <c r="EE8" s="456"/>
      <c r="EF8" s="456"/>
      <c r="EG8" s="456"/>
      <c r="EH8" s="456"/>
      <c r="EI8" s="456"/>
      <c r="EJ8" s="456"/>
      <c r="EK8" s="456"/>
      <c r="EL8" s="457"/>
      <c r="EM8" s="457"/>
      <c r="EN8" s="456"/>
      <c r="EO8" s="456"/>
      <c r="EP8" s="456"/>
      <c r="EQ8" s="456"/>
      <c r="ER8" s="456"/>
      <c r="ES8" s="456"/>
      <c r="ET8" s="456"/>
      <c r="EU8" s="456"/>
      <c r="EV8" s="456"/>
      <c r="EW8" s="456"/>
      <c r="EX8" s="456"/>
      <c r="EY8" s="456"/>
      <c r="EZ8" s="456"/>
      <c r="FA8" s="456"/>
      <c r="FB8" s="456"/>
      <c r="FC8" s="456"/>
      <c r="FD8" s="456"/>
      <c r="FE8" s="456"/>
      <c r="FF8" s="456"/>
      <c r="FG8" s="456"/>
      <c r="FH8" s="456"/>
      <c r="FI8" s="456"/>
      <c r="FJ8" s="456"/>
      <c r="FK8" s="456"/>
      <c r="FL8" s="456"/>
      <c r="FM8" s="456"/>
      <c r="FN8" s="456"/>
      <c r="FO8" s="456"/>
      <c r="FP8" s="456"/>
      <c r="FQ8" s="456"/>
      <c r="FR8" s="456"/>
      <c r="FS8" s="456"/>
      <c r="FT8" s="456"/>
      <c r="FU8" s="456"/>
      <c r="FV8" s="456"/>
      <c r="FW8" s="456"/>
      <c r="FX8" s="456"/>
      <c r="FY8" s="456"/>
      <c r="FZ8" s="456"/>
      <c r="GA8" s="456"/>
      <c r="GB8" s="456"/>
      <c r="GC8" s="456"/>
      <c r="GD8" s="456"/>
      <c r="GE8" s="456"/>
      <c r="GF8" s="456"/>
      <c r="GG8" s="456"/>
      <c r="GH8" s="456"/>
      <c r="GI8" s="456"/>
      <c r="GJ8" s="456"/>
      <c r="GK8" s="456"/>
      <c r="GL8" s="456"/>
      <c r="GM8" s="456"/>
      <c r="GN8" s="456"/>
      <c r="GO8" s="456"/>
      <c r="GP8" s="456"/>
      <c r="GQ8" s="456"/>
      <c r="GR8" s="456"/>
      <c r="GS8" s="456"/>
      <c r="GT8" s="456"/>
      <c r="GU8" s="456"/>
      <c r="GV8" s="456"/>
      <c r="GW8" s="456"/>
      <c r="GX8" s="456"/>
      <c r="GY8" s="456"/>
      <c r="GZ8" s="456"/>
      <c r="HA8" s="456"/>
      <c r="HB8" s="456"/>
      <c r="HC8" s="456"/>
      <c r="HD8" s="456"/>
      <c r="HE8" s="456"/>
      <c r="HF8" s="456"/>
      <c r="HG8" s="456"/>
      <c r="HH8" s="456"/>
      <c r="HI8" s="456"/>
      <c r="HJ8" s="456"/>
      <c r="HK8" s="456"/>
      <c r="HL8" s="456"/>
      <c r="HM8" s="456"/>
      <c r="HN8" s="456"/>
      <c r="HO8" s="456"/>
    </row>
    <row r="9" spans="1:292" ht="70" hidden="1" customHeight="1">
      <c r="A9" s="295" t="s">
        <v>51</v>
      </c>
      <c r="B9" s="296"/>
      <c r="C9" s="296"/>
      <c r="D9" s="296"/>
      <c r="E9" s="296"/>
      <c r="F9" s="294">
        <v>45387</v>
      </c>
      <c r="G9" s="41" t="s">
        <v>52</v>
      </c>
      <c r="H9" s="41"/>
      <c r="I9" s="41" t="s">
        <v>53</v>
      </c>
      <c r="J9" s="297" t="s">
        <v>54</v>
      </c>
      <c r="K9" s="233" t="s">
        <v>55</v>
      </c>
      <c r="L9" s="41" t="s">
        <v>55</v>
      </c>
      <c r="M9" s="41"/>
      <c r="N9" s="39" t="s">
        <v>55</v>
      </c>
      <c r="O9" s="39"/>
      <c r="P9" s="451">
        <v>45448</v>
      </c>
      <c r="Q9" s="451">
        <f t="shared" si="0"/>
        <v>45498</v>
      </c>
      <c r="R9" s="460">
        <f t="shared" si="1"/>
        <v>45536</v>
      </c>
      <c r="S9" s="43"/>
      <c r="T9" s="453">
        <v>45591</v>
      </c>
      <c r="U9" s="293"/>
      <c r="V9" s="454" t="s">
        <v>56</v>
      </c>
      <c r="W9" s="216" t="s">
        <v>57</v>
      </c>
      <c r="X9" s="466" t="s">
        <v>58</v>
      </c>
      <c r="Y9" s="466"/>
      <c r="Z9" s="466"/>
      <c r="AA9" s="466"/>
      <c r="AB9" s="467" t="s">
        <v>50</v>
      </c>
      <c r="AC9" s="468"/>
      <c r="AD9" s="469"/>
      <c r="AE9" s="456"/>
      <c r="AF9" s="465"/>
      <c r="AG9" s="465"/>
      <c r="AH9" s="465"/>
      <c r="AI9" s="465"/>
      <c r="AJ9" s="457"/>
      <c r="AK9" s="457"/>
      <c r="AL9" s="456"/>
      <c r="AM9" s="456"/>
      <c r="AN9" s="456"/>
      <c r="AO9" s="456"/>
      <c r="AP9" s="456"/>
      <c r="AQ9" s="456"/>
      <c r="AR9" s="456"/>
      <c r="AS9" s="456"/>
      <c r="AT9" s="456"/>
      <c r="AU9" s="456"/>
      <c r="AV9" s="456"/>
      <c r="AW9" s="456"/>
      <c r="AX9" s="456"/>
      <c r="AY9" s="456"/>
      <c r="AZ9" s="456"/>
      <c r="BA9" s="456"/>
      <c r="BB9" s="456"/>
      <c r="BC9" s="456"/>
      <c r="BD9" s="456"/>
      <c r="BE9" s="456"/>
      <c r="BF9" s="456"/>
      <c r="BG9" s="456"/>
      <c r="BH9" s="456"/>
      <c r="BI9" s="456"/>
      <c r="BJ9" s="456"/>
      <c r="BK9" s="456"/>
      <c r="BL9" s="456"/>
      <c r="BM9" s="456"/>
      <c r="BN9" s="456"/>
      <c r="BO9" s="456"/>
      <c r="BP9" s="456"/>
      <c r="BQ9" s="456"/>
      <c r="BR9" s="456"/>
      <c r="BS9" s="456"/>
      <c r="BT9" s="456"/>
      <c r="BU9" s="456"/>
      <c r="BV9" s="456"/>
      <c r="BW9" s="456"/>
      <c r="BX9" s="456"/>
      <c r="BY9" s="456"/>
      <c r="BZ9" s="456"/>
      <c r="CA9" s="456"/>
      <c r="CB9" s="456"/>
      <c r="CC9" s="456"/>
      <c r="CD9" s="459"/>
      <c r="CE9" s="456"/>
      <c r="CF9" s="456"/>
      <c r="CG9" s="456"/>
      <c r="CH9" s="456"/>
      <c r="CI9" s="456"/>
      <c r="CJ9" s="456"/>
      <c r="CK9" s="456"/>
      <c r="CL9" s="456"/>
      <c r="CM9" s="457"/>
      <c r="CN9" s="457"/>
      <c r="CO9" s="456"/>
      <c r="CP9" s="456"/>
      <c r="CQ9" s="456"/>
      <c r="CR9" s="456"/>
      <c r="CS9" s="456"/>
      <c r="CT9" s="456"/>
      <c r="CU9" s="456"/>
      <c r="CV9" s="456"/>
      <c r="CW9" s="456"/>
      <c r="CX9" s="456"/>
      <c r="CY9" s="456"/>
      <c r="CZ9" s="456"/>
      <c r="DA9" s="456"/>
      <c r="DB9" s="456"/>
      <c r="DC9" s="456"/>
      <c r="DD9" s="456"/>
      <c r="DE9" s="456"/>
      <c r="DF9" s="456"/>
      <c r="DG9" s="456"/>
      <c r="DH9" s="456"/>
      <c r="DI9" s="456"/>
      <c r="DJ9" s="456"/>
      <c r="DK9" s="456"/>
      <c r="DL9" s="456"/>
      <c r="DM9" s="456"/>
      <c r="DN9" s="456"/>
      <c r="DO9" s="456"/>
      <c r="DP9" s="456"/>
      <c r="DQ9" s="456"/>
      <c r="DR9" s="456"/>
      <c r="DS9" s="456"/>
      <c r="DT9" s="456"/>
      <c r="DU9" s="456"/>
      <c r="DV9" s="456"/>
      <c r="DW9" s="456"/>
      <c r="DX9" s="456"/>
      <c r="DY9" s="456"/>
      <c r="DZ9" s="456"/>
      <c r="EA9" s="456"/>
      <c r="EB9" s="456"/>
      <c r="EC9" s="456"/>
      <c r="ED9" s="456"/>
      <c r="EE9" s="456"/>
      <c r="EF9" s="456"/>
      <c r="EG9" s="456"/>
      <c r="EH9" s="456"/>
      <c r="EI9" s="456"/>
      <c r="EJ9" s="456"/>
      <c r="EK9" s="456"/>
      <c r="EL9" s="457"/>
      <c r="EM9" s="457"/>
      <c r="EN9" s="456"/>
      <c r="EO9" s="456"/>
      <c r="EP9" s="456"/>
      <c r="EQ9" s="456"/>
      <c r="ER9" s="456"/>
      <c r="ES9" s="456"/>
      <c r="ET9" s="456"/>
      <c r="EU9" s="456"/>
      <c r="EV9" s="456"/>
      <c r="EW9" s="456"/>
      <c r="EX9" s="456"/>
      <c r="EY9" s="456"/>
      <c r="EZ9" s="456"/>
      <c r="FA9" s="456"/>
      <c r="FB9" s="456"/>
      <c r="FC9" s="456"/>
      <c r="FD9" s="456"/>
      <c r="FE9" s="456"/>
      <c r="FF9" s="456"/>
      <c r="FG9" s="456"/>
      <c r="FH9" s="456"/>
      <c r="FI9" s="456"/>
      <c r="FJ9" s="456"/>
      <c r="FK9" s="456"/>
      <c r="FL9" s="456"/>
      <c r="FM9" s="456"/>
      <c r="FN9" s="456"/>
      <c r="FO9" s="456"/>
      <c r="FP9" s="456"/>
      <c r="FQ9" s="456"/>
      <c r="FR9" s="456"/>
      <c r="FS9" s="456"/>
      <c r="FT9" s="456"/>
      <c r="FU9" s="456"/>
      <c r="FV9" s="456"/>
      <c r="FW9" s="456"/>
      <c r="FX9" s="456"/>
      <c r="FY9" s="456"/>
      <c r="FZ9" s="456"/>
      <c r="GA9" s="456"/>
      <c r="GB9" s="456"/>
      <c r="GC9" s="456"/>
      <c r="GD9" s="456"/>
      <c r="GE9" s="456"/>
      <c r="GF9" s="456"/>
      <c r="GG9" s="456"/>
      <c r="GH9" s="456"/>
      <c r="GI9" s="456"/>
      <c r="GJ9" s="456"/>
      <c r="GK9" s="456"/>
      <c r="GL9" s="456"/>
      <c r="GM9" s="456"/>
      <c r="GN9" s="456"/>
      <c r="GO9" s="456"/>
      <c r="GP9" s="456"/>
      <c r="GQ9" s="456"/>
      <c r="GR9" s="456"/>
      <c r="GS9" s="456"/>
      <c r="GT9" s="456"/>
      <c r="GU9" s="456"/>
      <c r="GV9" s="456"/>
      <c r="GW9" s="456"/>
      <c r="GX9" s="456"/>
      <c r="GY9" s="456"/>
      <c r="GZ9" s="456"/>
      <c r="HA9" s="456"/>
      <c r="HB9" s="456"/>
      <c r="HC9" s="456"/>
      <c r="HD9" s="456"/>
      <c r="HE9" s="456"/>
      <c r="HF9" s="456"/>
      <c r="HG9" s="456"/>
      <c r="HH9" s="456"/>
      <c r="HI9" s="456"/>
      <c r="HJ9" s="456"/>
      <c r="HK9" s="456"/>
      <c r="HL9" s="456"/>
      <c r="HM9" s="456"/>
      <c r="HN9" s="458"/>
      <c r="HO9" s="458"/>
    </row>
    <row r="10" spans="1:292" ht="70" customHeight="1">
      <c r="A10" s="298" t="s">
        <v>59</v>
      </c>
      <c r="B10" s="299"/>
      <c r="C10" s="299"/>
      <c r="D10" s="299"/>
      <c r="E10" s="299"/>
      <c r="F10" s="294">
        <v>45432</v>
      </c>
      <c r="G10" s="41" t="s">
        <v>52</v>
      </c>
      <c r="H10" s="41"/>
      <c r="I10" s="41" t="s">
        <v>53</v>
      </c>
      <c r="J10" s="297" t="s">
        <v>60</v>
      </c>
      <c r="K10" s="234" t="s">
        <v>55</v>
      </c>
      <c r="L10" s="41" t="s">
        <v>55</v>
      </c>
      <c r="M10" s="41"/>
      <c r="N10" s="128" t="s">
        <v>55</v>
      </c>
      <c r="O10" s="39"/>
      <c r="P10" s="451">
        <v>45476</v>
      </c>
      <c r="Q10" s="451">
        <f t="shared" si="0"/>
        <v>45526</v>
      </c>
      <c r="R10" s="460">
        <f t="shared" si="1"/>
        <v>45550</v>
      </c>
      <c r="S10" s="31"/>
      <c r="T10" s="453">
        <v>45605</v>
      </c>
      <c r="U10" s="293"/>
      <c r="V10" s="454" t="s">
        <v>61</v>
      </c>
      <c r="W10" s="216" t="s">
        <v>57</v>
      </c>
      <c r="X10" s="4"/>
      <c r="Y10" s="466" t="s">
        <v>58</v>
      </c>
      <c r="Z10" s="466"/>
      <c r="AA10" s="466"/>
      <c r="AB10" s="467" t="s">
        <v>50</v>
      </c>
      <c r="AC10" s="468"/>
      <c r="AD10" s="469"/>
      <c r="AE10" s="465"/>
      <c r="AF10" s="465"/>
      <c r="AG10" s="465"/>
      <c r="AH10" s="465"/>
      <c r="AI10" s="465"/>
      <c r="AJ10" s="470"/>
      <c r="AK10" s="470"/>
      <c r="AL10" s="456"/>
      <c r="AM10" s="458"/>
      <c r="AN10" s="458"/>
      <c r="AO10" s="458"/>
      <c r="AP10" s="458"/>
      <c r="AQ10" s="458"/>
      <c r="AR10" s="458"/>
      <c r="AS10" s="458"/>
      <c r="AT10" s="458"/>
      <c r="AU10" s="458"/>
      <c r="AV10" s="458"/>
      <c r="AW10" s="458"/>
      <c r="AX10" s="458"/>
      <c r="AY10" s="458"/>
      <c r="AZ10" s="458"/>
      <c r="BA10" s="458"/>
      <c r="BB10" s="458"/>
      <c r="BC10" s="458"/>
      <c r="BD10" s="458"/>
      <c r="BE10" s="458"/>
      <c r="BF10" s="456"/>
      <c r="BG10" s="456"/>
      <c r="BH10" s="456"/>
      <c r="BI10" s="456"/>
      <c r="BJ10" s="456"/>
      <c r="BK10" s="456"/>
      <c r="BL10" s="456"/>
      <c r="BM10" s="456"/>
      <c r="BN10" s="456"/>
      <c r="BO10" s="456"/>
      <c r="BP10" s="456"/>
      <c r="BQ10" s="456"/>
      <c r="BR10" s="456"/>
      <c r="BS10" s="456"/>
      <c r="BT10" s="456"/>
      <c r="BU10" s="456"/>
      <c r="BV10" s="456"/>
      <c r="BW10" s="456"/>
      <c r="BX10" s="456"/>
      <c r="BY10" s="456"/>
      <c r="BZ10" s="456"/>
      <c r="CA10" s="456"/>
      <c r="CB10" s="456"/>
      <c r="CC10" s="456"/>
      <c r="CD10" s="459"/>
      <c r="CE10" s="456"/>
      <c r="CF10" s="456"/>
      <c r="CG10" s="456"/>
      <c r="CH10" s="456"/>
      <c r="CI10" s="456"/>
      <c r="CJ10" s="456"/>
      <c r="CK10" s="456"/>
      <c r="CL10" s="456"/>
      <c r="CM10" s="457"/>
      <c r="CN10" s="457"/>
      <c r="CO10" s="456"/>
      <c r="CP10" s="456"/>
      <c r="CQ10" s="456"/>
      <c r="CR10" s="456"/>
      <c r="CS10" s="456"/>
      <c r="CT10" s="456"/>
      <c r="CU10" s="456"/>
      <c r="CV10" s="456"/>
      <c r="CW10" s="456"/>
      <c r="CX10" s="457"/>
      <c r="CY10" s="456"/>
      <c r="CZ10" s="456"/>
      <c r="DA10" s="456"/>
      <c r="DB10" s="456"/>
      <c r="DC10" s="456"/>
      <c r="DD10" s="456"/>
      <c r="DE10" s="456"/>
      <c r="DF10" s="456"/>
      <c r="DG10" s="456"/>
      <c r="DH10" s="456"/>
      <c r="DI10" s="456"/>
      <c r="DJ10" s="456"/>
      <c r="DK10" s="456"/>
      <c r="DL10" s="456"/>
      <c r="DM10" s="456"/>
      <c r="DN10" s="456"/>
      <c r="DO10" s="456"/>
      <c r="DP10" s="456"/>
      <c r="DQ10" s="456"/>
      <c r="DR10" s="456"/>
      <c r="DS10" s="456"/>
      <c r="DT10" s="456"/>
      <c r="DU10" s="456"/>
      <c r="DV10" s="456"/>
      <c r="DW10" s="456"/>
      <c r="DX10" s="456"/>
      <c r="DY10" s="456"/>
      <c r="DZ10" s="456"/>
      <c r="EA10" s="456"/>
      <c r="EB10" s="456"/>
      <c r="EC10" s="456"/>
      <c r="ED10" s="456"/>
      <c r="EE10" s="456"/>
      <c r="EF10" s="456"/>
      <c r="EG10" s="456"/>
      <c r="EH10" s="456"/>
      <c r="EI10" s="456"/>
      <c r="EJ10" s="456"/>
      <c r="EK10" s="456"/>
      <c r="EL10" s="457"/>
      <c r="EM10" s="457"/>
      <c r="EN10" s="456"/>
      <c r="EO10" s="456"/>
      <c r="EP10" s="456"/>
      <c r="EQ10" s="456"/>
      <c r="ER10" s="456"/>
      <c r="ES10" s="456"/>
      <c r="ET10" s="456"/>
      <c r="EU10" s="456"/>
      <c r="EV10" s="456"/>
      <c r="EW10" s="456"/>
      <c r="EX10" s="456"/>
      <c r="EY10" s="456"/>
      <c r="EZ10" s="456"/>
      <c r="FA10" s="456"/>
      <c r="FB10" s="456"/>
      <c r="FC10" s="456"/>
      <c r="FD10" s="456"/>
      <c r="FE10" s="456"/>
      <c r="FF10" s="456"/>
      <c r="FG10" s="456"/>
      <c r="FH10" s="456"/>
      <c r="FI10" s="456"/>
      <c r="FJ10" s="456"/>
      <c r="FK10" s="456"/>
      <c r="FL10" s="456"/>
      <c r="FM10" s="456"/>
      <c r="FN10" s="456"/>
      <c r="FO10" s="456"/>
      <c r="FP10" s="456"/>
      <c r="FQ10" s="456"/>
      <c r="FR10" s="456"/>
      <c r="FS10" s="456"/>
      <c r="FT10" s="456"/>
      <c r="FU10" s="456"/>
      <c r="FV10" s="456"/>
      <c r="FW10" s="456"/>
      <c r="FX10" s="456"/>
      <c r="FY10" s="456"/>
      <c r="FZ10" s="456"/>
      <c r="GA10" s="456"/>
      <c r="GB10" s="456"/>
      <c r="GC10" s="456"/>
      <c r="GD10" s="456"/>
      <c r="GE10" s="456"/>
      <c r="GF10" s="456"/>
      <c r="GG10" s="456"/>
      <c r="GH10" s="456"/>
      <c r="GI10" s="456"/>
      <c r="GJ10" s="457"/>
      <c r="GK10" s="457"/>
      <c r="GL10" s="456"/>
      <c r="GM10" s="456"/>
      <c r="GN10" s="456"/>
      <c r="GO10" s="456"/>
      <c r="GP10" s="456"/>
      <c r="GQ10" s="456"/>
      <c r="GR10" s="456"/>
      <c r="GS10" s="456"/>
      <c r="GT10" s="456"/>
      <c r="GU10" s="456"/>
      <c r="GV10" s="456"/>
      <c r="GW10" s="456"/>
      <c r="GX10" s="456"/>
      <c r="GY10" s="456"/>
      <c r="GZ10" s="456"/>
      <c r="HA10" s="456"/>
      <c r="HB10" s="456"/>
      <c r="HC10" s="456"/>
      <c r="HD10" s="456"/>
      <c r="HE10" s="456"/>
      <c r="HF10" s="456"/>
      <c r="HG10" s="456"/>
      <c r="HH10" s="456"/>
      <c r="HI10" s="456"/>
      <c r="HJ10" s="456"/>
      <c r="HK10" s="456"/>
      <c r="HL10" s="456"/>
      <c r="HM10" s="456"/>
      <c r="HN10" s="456"/>
      <c r="HO10" s="456"/>
      <c r="HP10" s="456"/>
      <c r="HQ10" s="456"/>
      <c r="HR10" s="456"/>
      <c r="HS10" s="456"/>
      <c r="HT10" s="456"/>
      <c r="HU10" s="456"/>
      <c r="HV10" s="456"/>
      <c r="HW10" s="456"/>
      <c r="HX10" s="456"/>
      <c r="HY10" s="456"/>
      <c r="HZ10" s="456"/>
      <c r="IA10" s="456"/>
      <c r="IB10" s="456"/>
      <c r="IC10" s="456"/>
      <c r="ID10" s="456"/>
      <c r="IE10" s="456"/>
      <c r="IF10" s="456"/>
      <c r="IG10" s="456"/>
      <c r="IH10" s="456"/>
      <c r="II10" s="456"/>
      <c r="IJ10" s="456"/>
      <c r="IK10" s="456"/>
      <c r="IL10" s="456"/>
      <c r="IM10" s="456"/>
      <c r="IN10" s="456"/>
      <c r="IO10" s="456"/>
      <c r="IP10" s="456"/>
      <c r="IQ10" s="456"/>
      <c r="IR10" s="456"/>
      <c r="IS10" s="456"/>
      <c r="IT10" s="456"/>
      <c r="IU10" s="456"/>
      <c r="IV10" s="456"/>
      <c r="IW10" s="456"/>
      <c r="IX10" s="456"/>
      <c r="IY10" s="456"/>
      <c r="IZ10" s="456"/>
      <c r="JA10" s="456"/>
      <c r="JB10" s="456"/>
      <c r="JC10" s="456"/>
      <c r="JD10" s="456"/>
      <c r="JE10" s="456"/>
      <c r="JF10" s="456"/>
      <c r="JG10" s="456"/>
      <c r="JH10" s="456"/>
      <c r="JI10" s="456"/>
      <c r="JJ10" s="456"/>
      <c r="JK10" s="456"/>
      <c r="JL10" s="456"/>
      <c r="JM10" s="456"/>
      <c r="JN10" s="456"/>
      <c r="JO10" s="456"/>
      <c r="JP10" s="456"/>
      <c r="JQ10" s="456"/>
      <c r="JR10" s="456"/>
      <c r="JS10" s="456"/>
      <c r="JT10" s="456"/>
      <c r="JU10" s="456"/>
      <c r="JV10" s="456"/>
      <c r="JW10" s="456"/>
      <c r="JX10" s="456"/>
      <c r="JY10" s="456"/>
      <c r="JZ10" s="456"/>
      <c r="KA10" s="456"/>
      <c r="KB10" s="456"/>
      <c r="KC10" s="456"/>
      <c r="KD10" s="456"/>
      <c r="KE10" s="456"/>
      <c r="KF10" s="456"/>
    </row>
    <row r="11" spans="1:292" ht="70" hidden="1" customHeight="1">
      <c r="A11" s="163" t="s">
        <v>62</v>
      </c>
      <c r="B11" s="300"/>
      <c r="C11" s="300"/>
      <c r="D11" s="300"/>
      <c r="E11" s="300"/>
      <c r="F11" s="294">
        <v>45489</v>
      </c>
      <c r="G11" s="41" t="s">
        <v>30</v>
      </c>
      <c r="H11" s="44"/>
      <c r="I11" s="44" t="s">
        <v>31</v>
      </c>
      <c r="J11" s="149" t="s">
        <v>63</v>
      </c>
      <c r="K11" s="233" t="s">
        <v>33</v>
      </c>
      <c r="L11" s="44" t="s">
        <v>34</v>
      </c>
      <c r="M11" s="44"/>
      <c r="N11" s="129">
        <v>45827</v>
      </c>
      <c r="O11" s="45"/>
      <c r="P11" s="461">
        <v>45496</v>
      </c>
      <c r="Q11" s="461">
        <f t="shared" si="0"/>
        <v>45546</v>
      </c>
      <c r="R11" s="460">
        <f t="shared" si="1"/>
        <v>45578</v>
      </c>
      <c r="S11" s="43"/>
      <c r="T11" s="462">
        <v>45633</v>
      </c>
      <c r="U11" s="293">
        <f>_xlfn.DAYS(T11,N11)</f>
        <v>-194</v>
      </c>
      <c r="V11" s="454" t="s">
        <v>64</v>
      </c>
      <c r="W11" s="215" t="s">
        <v>65</v>
      </c>
      <c r="X11" s="471"/>
      <c r="Y11" s="472"/>
      <c r="Z11" s="473" t="s">
        <v>66</v>
      </c>
      <c r="AA11" s="473"/>
      <c r="AB11" s="4" t="s">
        <v>67</v>
      </c>
      <c r="AC11" s="4"/>
      <c r="AD11" s="464" t="s">
        <v>50</v>
      </c>
      <c r="AE11" s="474" t="s">
        <v>68</v>
      </c>
      <c r="AF11" s="475" t="s">
        <v>69</v>
      </c>
      <c r="AG11" s="476"/>
      <c r="AH11" s="476"/>
      <c r="AI11" s="477"/>
      <c r="AJ11" s="470"/>
      <c r="AK11" s="470"/>
      <c r="AL11" s="475" t="s">
        <v>69</v>
      </c>
      <c r="AM11" s="476"/>
      <c r="AN11" s="476"/>
      <c r="AO11" s="476"/>
      <c r="AP11" s="476"/>
      <c r="AQ11" s="476"/>
      <c r="AR11" s="476"/>
      <c r="AS11" s="476"/>
      <c r="AT11" s="476"/>
      <c r="AU11" s="476"/>
      <c r="AV11" s="476"/>
      <c r="AW11" s="476"/>
      <c r="AX11" s="476"/>
      <c r="AY11" s="476"/>
      <c r="AZ11" s="476"/>
      <c r="BA11" s="476"/>
      <c r="BB11" s="476"/>
      <c r="BC11" s="476"/>
      <c r="BD11" s="477"/>
      <c r="BE11" s="478" t="s">
        <v>34</v>
      </c>
      <c r="BF11" s="456"/>
      <c r="BG11" s="456"/>
      <c r="BH11" s="456"/>
      <c r="BI11" s="456"/>
      <c r="BJ11" s="456"/>
      <c r="BK11" s="456"/>
      <c r="BL11" s="456"/>
      <c r="BM11" s="456"/>
      <c r="BN11" s="456"/>
      <c r="BO11" s="456"/>
      <c r="BP11" s="456"/>
      <c r="BQ11" s="456"/>
      <c r="BR11" s="456"/>
      <c r="BS11" s="456"/>
      <c r="BT11" s="456"/>
      <c r="BU11" s="456"/>
      <c r="BV11" s="456"/>
      <c r="BW11" s="456"/>
      <c r="BX11" s="456"/>
      <c r="BY11" s="456"/>
      <c r="BZ11" s="456"/>
      <c r="CA11" s="456"/>
      <c r="CB11" s="456"/>
      <c r="CC11" s="456"/>
      <c r="CD11" s="459"/>
      <c r="CE11" s="456"/>
      <c r="CF11" s="456"/>
      <c r="CG11" s="456"/>
      <c r="CH11" s="456"/>
      <c r="CI11" s="456"/>
      <c r="CJ11" s="456"/>
      <c r="CK11" s="456"/>
      <c r="CL11" s="456"/>
      <c r="CM11" s="457"/>
      <c r="CN11" s="457"/>
      <c r="CO11" s="456"/>
      <c r="CP11" s="456"/>
      <c r="CQ11" s="456"/>
      <c r="CR11" s="456"/>
      <c r="CS11" s="456"/>
      <c r="CT11" s="456"/>
      <c r="CU11" s="456"/>
      <c r="CV11" s="456"/>
      <c r="CW11" s="456"/>
      <c r="CX11" s="456"/>
      <c r="CY11" s="456"/>
      <c r="CZ11" s="456"/>
      <c r="DA11" s="456"/>
      <c r="DB11" s="456"/>
      <c r="DC11" s="456"/>
      <c r="DD11" s="456"/>
      <c r="DE11" s="456"/>
      <c r="DF11" s="456"/>
      <c r="DG11" s="456"/>
      <c r="DH11" s="456"/>
      <c r="DI11" s="456"/>
      <c r="DJ11" s="456"/>
      <c r="DK11" s="456"/>
      <c r="DL11" s="456"/>
      <c r="DM11" s="456"/>
      <c r="DN11" s="456"/>
      <c r="DO11" s="456"/>
      <c r="DP11" s="456"/>
      <c r="DQ11" s="456"/>
      <c r="DR11" s="456"/>
      <c r="DS11" s="456"/>
      <c r="DT11" s="456"/>
      <c r="DU11" s="456"/>
      <c r="DV11" s="456"/>
      <c r="DW11" s="456"/>
      <c r="DX11" s="456"/>
      <c r="DY11" s="456"/>
      <c r="DZ11" s="456"/>
      <c r="EA11" s="456"/>
      <c r="EB11" s="456"/>
      <c r="EC11" s="456"/>
      <c r="ED11" s="456"/>
      <c r="EE11" s="456"/>
      <c r="EF11" s="456"/>
      <c r="EG11" s="456"/>
      <c r="EH11" s="456"/>
      <c r="EI11" s="456"/>
      <c r="EJ11" s="456"/>
      <c r="EK11" s="456"/>
      <c r="EL11" s="456"/>
      <c r="EM11" s="457"/>
      <c r="EN11" s="457"/>
      <c r="EO11" s="456"/>
      <c r="EP11" s="456"/>
      <c r="EQ11" s="456"/>
      <c r="ER11" s="456"/>
      <c r="ES11" s="456"/>
      <c r="ET11" s="456"/>
      <c r="EU11" s="456"/>
      <c r="EV11" s="456"/>
      <c r="EW11" s="456"/>
      <c r="EX11" s="456"/>
      <c r="EY11" s="456"/>
      <c r="EZ11" s="456"/>
      <c r="FA11" s="456"/>
      <c r="FB11" s="456"/>
      <c r="FC11" s="456"/>
      <c r="FD11" s="456"/>
      <c r="FE11" s="456"/>
      <c r="FF11" s="456"/>
      <c r="FG11" s="456"/>
      <c r="FH11" s="456"/>
      <c r="FI11" s="456"/>
      <c r="FJ11" s="456"/>
      <c r="FK11" s="456"/>
      <c r="FL11" s="456"/>
      <c r="FM11" s="456"/>
      <c r="FN11" s="456"/>
      <c r="FO11" s="456"/>
      <c r="FP11" s="456"/>
      <c r="FQ11" s="456"/>
      <c r="FR11" s="456"/>
      <c r="FS11" s="456"/>
      <c r="FT11" s="456"/>
      <c r="FU11" s="456"/>
      <c r="FV11" s="456"/>
      <c r="FW11" s="456"/>
      <c r="FX11" s="456"/>
      <c r="FY11" s="456"/>
      <c r="FZ11" s="456"/>
      <c r="GA11" s="456"/>
      <c r="GB11" s="456"/>
      <c r="GC11" s="456"/>
      <c r="GD11" s="456"/>
      <c r="GE11" s="456"/>
      <c r="GF11" s="456"/>
      <c r="GG11" s="456"/>
      <c r="GH11" s="456"/>
      <c r="GI11" s="456"/>
      <c r="GJ11" s="457"/>
      <c r="GK11" s="457"/>
      <c r="GL11" s="456"/>
      <c r="GM11" s="456"/>
      <c r="GN11" s="456"/>
      <c r="GO11" s="456"/>
      <c r="GP11" s="456"/>
      <c r="GQ11" s="456"/>
      <c r="GR11" s="456"/>
      <c r="GS11" s="456"/>
      <c r="GT11" s="456"/>
      <c r="GU11" s="456"/>
      <c r="GV11" s="456"/>
      <c r="GW11" s="456"/>
      <c r="GX11" s="456"/>
      <c r="GY11" s="456"/>
      <c r="GZ11" s="456"/>
      <c r="HA11" s="456"/>
      <c r="HB11" s="456"/>
      <c r="HC11" s="456"/>
      <c r="HD11" s="456"/>
      <c r="HE11" s="456"/>
      <c r="HF11" s="456"/>
      <c r="HG11" s="456"/>
      <c r="HH11" s="456"/>
      <c r="HI11" s="456"/>
      <c r="HJ11" s="456"/>
      <c r="HK11" s="456"/>
      <c r="HL11" s="456"/>
      <c r="HM11" s="456"/>
      <c r="HN11" s="456"/>
      <c r="HO11" s="456"/>
      <c r="HP11" s="456"/>
      <c r="HQ11" s="456"/>
      <c r="HR11" s="456"/>
      <c r="HS11" s="456"/>
      <c r="HT11" s="456"/>
      <c r="HU11" s="456"/>
      <c r="HV11" s="456"/>
      <c r="HW11" s="456"/>
      <c r="HX11" s="456"/>
      <c r="HY11" s="456"/>
      <c r="HZ11" s="456"/>
      <c r="IA11" s="456"/>
      <c r="IB11" s="456"/>
      <c r="IC11" s="456"/>
      <c r="ID11" s="456"/>
      <c r="IE11" s="456"/>
      <c r="IF11" s="456"/>
      <c r="IG11" s="456"/>
      <c r="IH11" s="456"/>
      <c r="II11" s="456"/>
      <c r="IJ11" s="456"/>
      <c r="IK11" s="456"/>
      <c r="IL11" s="456"/>
      <c r="IM11" s="456"/>
      <c r="IN11" s="456"/>
      <c r="IO11" s="456"/>
      <c r="IP11" s="456"/>
      <c r="IQ11" s="456"/>
      <c r="IR11" s="456"/>
      <c r="IS11" s="456"/>
      <c r="IT11" s="456"/>
      <c r="IU11" s="456"/>
      <c r="IV11" s="456"/>
      <c r="IW11" s="456"/>
      <c r="IX11" s="456"/>
      <c r="IY11" s="456"/>
      <c r="IZ11" s="456"/>
      <c r="JA11" s="456"/>
      <c r="JB11" s="456"/>
      <c r="JC11" s="456"/>
      <c r="JD11" s="456"/>
      <c r="JE11" s="456"/>
      <c r="JF11" s="456"/>
      <c r="JG11" s="456"/>
      <c r="JH11" s="456"/>
      <c r="JI11" s="456"/>
      <c r="JJ11" s="456"/>
      <c r="JK11" s="456"/>
      <c r="JL11" s="456"/>
      <c r="JM11" s="456"/>
      <c r="JN11" s="456"/>
      <c r="JO11" s="456"/>
      <c r="JP11" s="456"/>
      <c r="JQ11" s="456"/>
      <c r="JR11" s="456"/>
      <c r="JS11" s="456"/>
      <c r="JT11" s="456"/>
      <c r="JU11" s="456"/>
      <c r="JV11" s="456"/>
      <c r="JW11" s="456"/>
      <c r="JX11" s="456"/>
      <c r="JY11" s="456"/>
      <c r="JZ11" s="456"/>
      <c r="KA11" s="456"/>
      <c r="KB11" s="456"/>
      <c r="KC11" s="456"/>
      <c r="KD11" s="456"/>
      <c r="KE11" s="456"/>
      <c r="KF11" s="456"/>
    </row>
    <row r="12" spans="1:292" ht="70" customHeight="1">
      <c r="A12" s="301"/>
      <c r="B12" s="302"/>
      <c r="C12" s="302"/>
      <c r="D12" s="302"/>
      <c r="E12" s="302"/>
      <c r="F12" s="303"/>
      <c r="G12" s="304"/>
      <c r="H12" s="72"/>
      <c r="I12" s="72"/>
      <c r="J12" s="479"/>
      <c r="K12" s="235"/>
      <c r="L12" s="72"/>
      <c r="M12" s="72"/>
      <c r="N12" s="130"/>
      <c r="O12" s="46"/>
      <c r="P12" s="480"/>
      <c r="Q12" s="480"/>
      <c r="R12" s="481"/>
      <c r="S12" s="47"/>
      <c r="T12" s="480"/>
      <c r="U12" s="214"/>
      <c r="V12" s="214"/>
      <c r="W12" s="214"/>
      <c r="X12" s="20"/>
      <c r="Y12" s="20"/>
      <c r="Z12" s="482"/>
      <c r="AA12" s="482"/>
      <c r="AB12" s="482"/>
      <c r="AC12" s="482"/>
      <c r="AD12" s="482"/>
      <c r="AE12" s="482"/>
      <c r="AF12" s="482"/>
      <c r="AG12" s="482"/>
      <c r="AH12" s="482"/>
      <c r="AI12" s="482"/>
      <c r="AJ12" s="483"/>
      <c r="AK12" s="483"/>
      <c r="AL12" s="482"/>
      <c r="AM12" s="483"/>
      <c r="AN12" s="483"/>
      <c r="AO12" s="483"/>
      <c r="AP12" s="483"/>
      <c r="AQ12" s="483"/>
      <c r="AR12" s="483"/>
      <c r="AS12" s="483"/>
      <c r="AT12" s="483"/>
      <c r="AU12" s="483"/>
      <c r="AV12" s="483"/>
      <c r="AW12" s="483"/>
      <c r="AX12" s="483"/>
      <c r="AY12" s="483"/>
      <c r="AZ12" s="483"/>
      <c r="BA12" s="483"/>
      <c r="BB12" s="483"/>
      <c r="BC12" s="483"/>
      <c r="BD12" s="483"/>
      <c r="BE12" s="483"/>
      <c r="BF12" s="482"/>
      <c r="BG12" s="482"/>
      <c r="BH12" s="482"/>
      <c r="BI12" s="482"/>
      <c r="BJ12" s="482"/>
      <c r="BK12" s="482"/>
      <c r="BL12" s="482"/>
      <c r="BM12" s="482"/>
      <c r="BN12" s="482"/>
      <c r="BO12" s="482"/>
      <c r="BP12" s="482"/>
      <c r="BQ12" s="482"/>
      <c r="BR12" s="482"/>
      <c r="BS12" s="482"/>
      <c r="BT12" s="482"/>
      <c r="BU12" s="482"/>
      <c r="BV12" s="482"/>
      <c r="BW12" s="482"/>
      <c r="BX12" s="482"/>
      <c r="BY12" s="482"/>
      <c r="BZ12" s="482"/>
      <c r="CA12" s="482"/>
      <c r="CB12" s="482"/>
      <c r="CC12" s="482"/>
      <c r="CD12" s="484"/>
      <c r="CE12" s="482"/>
      <c r="CF12" s="482"/>
      <c r="CG12" s="482"/>
      <c r="CH12" s="482"/>
      <c r="CI12" s="482"/>
      <c r="CJ12" s="482"/>
      <c r="CK12" s="482"/>
      <c r="CL12" s="482"/>
      <c r="CM12" s="457"/>
      <c r="CN12" s="457"/>
      <c r="CO12" s="482"/>
      <c r="CP12" s="485"/>
      <c r="CQ12" s="485"/>
      <c r="CR12" s="485"/>
      <c r="CS12" s="485"/>
      <c r="CT12" s="485"/>
      <c r="CU12" s="485"/>
      <c r="CV12" s="485"/>
      <c r="CW12" s="485"/>
      <c r="CX12" s="485"/>
      <c r="CY12" s="485"/>
      <c r="CZ12" s="485"/>
      <c r="DA12" s="485"/>
      <c r="DB12" s="485"/>
      <c r="DC12" s="485"/>
      <c r="DD12" s="485"/>
      <c r="DE12" s="485"/>
      <c r="DF12" s="485"/>
      <c r="DG12" s="485"/>
      <c r="DH12" s="485"/>
      <c r="DI12" s="485"/>
      <c r="DJ12" s="485"/>
      <c r="DK12" s="485"/>
      <c r="DL12" s="485"/>
      <c r="DM12" s="485"/>
      <c r="DN12" s="485"/>
      <c r="DO12" s="485"/>
      <c r="DP12" s="485"/>
      <c r="DQ12" s="485"/>
      <c r="DR12" s="485"/>
      <c r="DS12" s="485"/>
      <c r="DT12" s="485"/>
      <c r="DU12" s="485"/>
      <c r="DV12" s="485"/>
      <c r="DW12" s="485"/>
      <c r="DX12" s="485"/>
      <c r="DY12" s="485"/>
      <c r="DZ12" s="485"/>
      <c r="EA12" s="485"/>
      <c r="EB12" s="485"/>
      <c r="EC12" s="485"/>
      <c r="ED12" s="485"/>
      <c r="EE12" s="485"/>
      <c r="EF12" s="485"/>
      <c r="EG12" s="485"/>
      <c r="EH12" s="485"/>
      <c r="EI12" s="482"/>
      <c r="EJ12" s="482"/>
      <c r="EK12" s="482"/>
      <c r="EL12" s="482"/>
      <c r="EM12" s="482"/>
      <c r="EN12" s="482"/>
      <c r="EO12" s="482"/>
      <c r="EP12" s="482"/>
      <c r="EQ12" s="482"/>
      <c r="ER12" s="482"/>
      <c r="ES12" s="482"/>
      <c r="ET12" s="485"/>
      <c r="EU12" s="485"/>
      <c r="EV12" s="485"/>
      <c r="EW12" s="485"/>
      <c r="EX12" s="485"/>
      <c r="EY12" s="485"/>
      <c r="EZ12" s="485"/>
      <c r="FA12" s="485"/>
      <c r="FB12" s="485"/>
      <c r="FC12" s="485"/>
      <c r="FD12" s="485"/>
      <c r="FE12" s="485"/>
      <c r="FF12" s="485"/>
      <c r="FG12" s="485"/>
      <c r="FH12" s="485"/>
      <c r="FI12" s="485"/>
      <c r="FJ12" s="485"/>
      <c r="FK12" s="485"/>
      <c r="FL12" s="485"/>
      <c r="FM12" s="485"/>
      <c r="FN12" s="485"/>
      <c r="FO12" s="485"/>
      <c r="FP12" s="485"/>
      <c r="FQ12" s="485"/>
      <c r="FR12" s="485"/>
      <c r="FS12" s="485"/>
      <c r="FT12" s="485"/>
      <c r="FU12" s="485"/>
      <c r="FV12" s="485"/>
      <c r="FW12" s="485"/>
      <c r="FX12" s="485"/>
      <c r="FY12" s="485"/>
      <c r="FZ12" s="485"/>
      <c r="GA12" s="485"/>
      <c r="GB12" s="485"/>
      <c r="GC12" s="485"/>
      <c r="GD12" s="485"/>
      <c r="GE12" s="485"/>
      <c r="GF12" s="485"/>
      <c r="GG12" s="485"/>
      <c r="GH12" s="485"/>
      <c r="GI12" s="485"/>
      <c r="GJ12" s="485"/>
      <c r="GK12" s="485"/>
      <c r="GL12" s="485"/>
      <c r="GM12" s="485"/>
      <c r="GN12" s="485"/>
      <c r="GO12" s="482"/>
      <c r="GP12" s="485"/>
      <c r="GQ12" s="485"/>
      <c r="GR12" s="485"/>
      <c r="GS12" s="485"/>
      <c r="GT12" s="485"/>
      <c r="GU12" s="485"/>
      <c r="GV12" s="485"/>
      <c r="GW12" s="485"/>
      <c r="GX12" s="485"/>
      <c r="GY12" s="485"/>
      <c r="GZ12" s="485"/>
      <c r="HA12" s="485"/>
      <c r="HB12" s="485"/>
      <c r="HC12" s="485"/>
      <c r="HD12" s="485"/>
      <c r="HE12" s="485"/>
      <c r="HF12" s="485"/>
      <c r="HG12" s="485"/>
      <c r="HH12" s="485"/>
      <c r="HI12" s="485"/>
      <c r="HJ12" s="485"/>
      <c r="HK12" s="485"/>
      <c r="HL12" s="485"/>
      <c r="HM12" s="485"/>
      <c r="HN12" s="482"/>
      <c r="HO12" s="482"/>
      <c r="HP12" s="456"/>
      <c r="HQ12" s="456"/>
      <c r="HR12" s="456"/>
      <c r="HS12" s="456"/>
      <c r="HT12" s="456"/>
      <c r="HU12" s="456"/>
      <c r="HV12" s="456"/>
      <c r="HW12" s="456"/>
      <c r="HX12" s="456"/>
      <c r="HY12" s="456"/>
      <c r="HZ12" s="456"/>
      <c r="IA12" s="456"/>
      <c r="IB12" s="456"/>
      <c r="IC12" s="456"/>
      <c r="ID12" s="456"/>
      <c r="IE12" s="456"/>
      <c r="IF12" s="456"/>
      <c r="IG12" s="456"/>
      <c r="IH12" s="456"/>
      <c r="II12" s="456"/>
      <c r="IJ12" s="456"/>
      <c r="IK12" s="456"/>
      <c r="IL12" s="456"/>
      <c r="IM12" s="456"/>
      <c r="IN12" s="456"/>
      <c r="IO12" s="456"/>
      <c r="IP12" s="456"/>
      <c r="IQ12" s="456"/>
      <c r="IR12" s="456"/>
      <c r="IS12" s="456"/>
      <c r="IT12" s="456"/>
      <c r="IU12" s="456"/>
      <c r="IV12" s="456"/>
      <c r="IW12" s="456"/>
      <c r="IX12" s="456"/>
      <c r="IY12" s="456"/>
      <c r="IZ12" s="456"/>
      <c r="JA12" s="456"/>
      <c r="JB12" s="456"/>
      <c r="JC12" s="456"/>
      <c r="JD12" s="456"/>
      <c r="JE12" s="456"/>
      <c r="JF12" s="456"/>
      <c r="JG12" s="456"/>
      <c r="JH12" s="456"/>
      <c r="JI12" s="456"/>
      <c r="JJ12" s="456"/>
      <c r="JK12" s="456"/>
      <c r="JL12" s="456"/>
      <c r="JM12" s="456"/>
      <c r="JN12" s="456"/>
      <c r="JO12" s="456"/>
      <c r="JP12" s="456"/>
      <c r="JQ12" s="456"/>
      <c r="JR12" s="456"/>
      <c r="JS12" s="456"/>
      <c r="JT12" s="456"/>
      <c r="JU12" s="456"/>
      <c r="JV12" s="456"/>
      <c r="JW12" s="456"/>
      <c r="JX12" s="456"/>
      <c r="JY12" s="456"/>
      <c r="JZ12" s="456"/>
      <c r="KA12" s="456"/>
      <c r="KB12" s="456"/>
      <c r="KC12" s="456"/>
      <c r="KD12" s="456"/>
      <c r="KE12" s="456"/>
      <c r="KF12" s="456"/>
    </row>
    <row r="13" spans="1:292" ht="70" hidden="1" customHeight="1" thickBot="1">
      <c r="A13" s="163" t="s">
        <v>70</v>
      </c>
      <c r="B13" s="300"/>
      <c r="C13" s="300" t="s">
        <v>71</v>
      </c>
      <c r="D13" s="300">
        <v>1660</v>
      </c>
      <c r="E13" s="300">
        <v>2539</v>
      </c>
      <c r="F13" s="305">
        <v>45422</v>
      </c>
      <c r="G13" s="306" t="s">
        <v>72</v>
      </c>
      <c r="H13" s="306"/>
      <c r="I13" s="44" t="s">
        <v>53</v>
      </c>
      <c r="J13" s="48"/>
      <c r="K13" s="234"/>
      <c r="L13" s="38" t="s">
        <v>73</v>
      </c>
      <c r="M13" s="44"/>
      <c r="N13" s="131"/>
      <c r="O13" s="44"/>
      <c r="P13" s="461">
        <v>45434</v>
      </c>
      <c r="Q13" s="461">
        <v>45542</v>
      </c>
      <c r="R13" s="461">
        <f>T13-55</f>
        <v>45662</v>
      </c>
      <c r="S13" s="43"/>
      <c r="T13" s="462" t="s">
        <v>74</v>
      </c>
      <c r="U13" s="307"/>
      <c r="V13" s="255" t="s">
        <v>75</v>
      </c>
      <c r="W13" s="35" t="s">
        <v>76</v>
      </c>
      <c r="X13" s="486"/>
      <c r="Y13" s="486"/>
      <c r="Z13" s="486"/>
      <c r="AA13" s="487" t="s">
        <v>77</v>
      </c>
      <c r="AB13" s="487"/>
      <c r="AC13" s="487"/>
      <c r="AD13" s="488"/>
      <c r="AE13" s="488"/>
      <c r="AF13" s="489" t="s">
        <v>66</v>
      </c>
      <c r="AG13" s="489"/>
      <c r="AH13" s="489"/>
      <c r="AI13" s="489"/>
      <c r="AJ13" s="470"/>
      <c r="AK13" s="470"/>
      <c r="AL13" s="489"/>
      <c r="AM13" s="3" t="s">
        <v>67</v>
      </c>
      <c r="AN13" s="3"/>
      <c r="AO13" s="3"/>
      <c r="AP13" s="490"/>
      <c r="AQ13" s="465"/>
      <c r="AR13" s="465"/>
      <c r="AS13" s="465"/>
      <c r="AT13" s="465"/>
      <c r="AU13" s="456"/>
      <c r="AV13" s="465"/>
      <c r="AW13" s="456"/>
      <c r="AX13" s="456"/>
      <c r="AY13" s="456"/>
      <c r="AZ13" s="456"/>
      <c r="BA13" s="456"/>
      <c r="BB13" s="456"/>
      <c r="BC13" s="456"/>
      <c r="BD13" s="456"/>
      <c r="BE13" s="456"/>
      <c r="BF13" s="456"/>
      <c r="BG13" s="456"/>
      <c r="BH13" s="456"/>
      <c r="BI13" s="456"/>
      <c r="BJ13" s="456"/>
      <c r="BK13" s="456"/>
      <c r="BL13" s="456"/>
      <c r="BM13" s="456"/>
      <c r="BN13" s="456"/>
      <c r="BO13" s="456"/>
      <c r="BP13" s="456"/>
      <c r="BQ13" s="456"/>
      <c r="BR13" s="456"/>
      <c r="BS13" s="456"/>
      <c r="BT13" s="456"/>
      <c r="BU13" s="456"/>
      <c r="BV13" s="456"/>
      <c r="BW13" s="456"/>
      <c r="BX13" s="456"/>
      <c r="BY13" s="456"/>
      <c r="BZ13" s="456"/>
      <c r="CA13" s="456"/>
      <c r="CB13" s="456"/>
      <c r="CC13" s="456"/>
      <c r="CD13" s="459"/>
      <c r="CE13" s="456"/>
      <c r="CF13" s="465"/>
      <c r="CG13" s="465"/>
      <c r="CH13" s="465"/>
      <c r="CI13" s="465"/>
      <c r="CJ13" s="456"/>
      <c r="CK13" s="456"/>
      <c r="CL13" s="456"/>
      <c r="CM13" s="457"/>
      <c r="CN13" s="457"/>
      <c r="CO13" s="456"/>
      <c r="CP13" s="456"/>
      <c r="CQ13" s="456"/>
      <c r="CR13" s="456"/>
      <c r="CS13" s="456"/>
      <c r="CT13" s="456"/>
      <c r="CU13" s="456"/>
      <c r="CV13" s="456"/>
      <c r="CW13" s="456"/>
      <c r="CX13" s="456"/>
      <c r="CY13" s="456"/>
      <c r="CZ13" s="456"/>
      <c r="DA13" s="456"/>
      <c r="DB13" s="456"/>
      <c r="DC13" s="456"/>
      <c r="DD13" s="456"/>
      <c r="DE13" s="456"/>
      <c r="DF13" s="456"/>
      <c r="DG13" s="456"/>
      <c r="DH13" s="456"/>
      <c r="DI13" s="456"/>
      <c r="DJ13" s="456"/>
      <c r="DK13" s="456"/>
      <c r="DL13" s="456"/>
      <c r="DM13" s="456"/>
      <c r="DN13" s="456"/>
      <c r="DO13" s="456"/>
      <c r="DP13" s="456"/>
      <c r="DQ13" s="456"/>
      <c r="DR13" s="456"/>
      <c r="DS13" s="456"/>
      <c r="DT13" s="456"/>
      <c r="DU13" s="456"/>
      <c r="DV13" s="456"/>
      <c r="DW13" s="456"/>
      <c r="DX13" s="456"/>
      <c r="DY13" s="456"/>
      <c r="DZ13" s="456"/>
      <c r="EA13" s="456"/>
      <c r="EB13" s="456"/>
      <c r="EC13" s="456"/>
      <c r="ED13" s="456"/>
      <c r="EE13" s="456"/>
      <c r="EF13" s="456"/>
      <c r="EG13" s="456"/>
      <c r="EH13" s="456"/>
      <c r="EI13" s="456"/>
      <c r="EJ13" s="456"/>
      <c r="EK13" s="456"/>
      <c r="EL13" s="456"/>
      <c r="EM13" s="457"/>
      <c r="EN13" s="457"/>
      <c r="EO13" s="456"/>
      <c r="EP13" s="456"/>
      <c r="EQ13" s="456"/>
      <c r="ER13" s="456"/>
      <c r="ES13" s="456"/>
      <c r="ET13" s="456"/>
      <c r="EU13" s="456"/>
      <c r="EV13" s="456"/>
      <c r="EW13" s="456"/>
      <c r="EX13" s="456"/>
      <c r="EY13" s="456"/>
      <c r="EZ13" s="456"/>
      <c r="FA13" s="456"/>
      <c r="FB13" s="456"/>
      <c r="FC13" s="456"/>
      <c r="FD13" s="456"/>
      <c r="FE13" s="456"/>
      <c r="FF13" s="456"/>
      <c r="FG13" s="456"/>
      <c r="FH13" s="456"/>
      <c r="FI13" s="456"/>
      <c r="FJ13" s="456"/>
      <c r="FK13" s="456"/>
      <c r="FL13" s="456"/>
      <c r="FM13" s="456"/>
      <c r="FN13" s="456"/>
      <c r="FO13" s="456"/>
      <c r="FP13" s="456"/>
      <c r="FQ13" s="456"/>
      <c r="FR13" s="456"/>
      <c r="FS13" s="456"/>
      <c r="FT13" s="456"/>
      <c r="FU13" s="456"/>
      <c r="FV13" s="456"/>
      <c r="FW13" s="456"/>
      <c r="FX13" s="456"/>
      <c r="FY13" s="456"/>
      <c r="FZ13" s="456"/>
      <c r="GA13" s="456"/>
      <c r="GB13" s="456"/>
      <c r="GC13" s="456"/>
      <c r="GD13" s="456"/>
      <c r="GE13" s="456"/>
      <c r="GF13" s="456"/>
      <c r="GG13" s="456"/>
      <c r="GH13" s="456"/>
      <c r="GI13" s="456"/>
      <c r="GJ13" s="456"/>
      <c r="GK13" s="456"/>
      <c r="GL13" s="456"/>
      <c r="GM13" s="456"/>
      <c r="GN13" s="456"/>
      <c r="GO13" s="456"/>
      <c r="GP13" s="456"/>
      <c r="GQ13" s="456"/>
      <c r="GR13" s="456"/>
      <c r="GS13" s="456"/>
      <c r="GT13" s="456"/>
      <c r="GU13" s="456"/>
      <c r="GV13" s="456"/>
      <c r="GW13" s="456"/>
      <c r="GX13" s="456"/>
      <c r="GY13" s="456"/>
      <c r="GZ13" s="456"/>
      <c r="HA13" s="456"/>
      <c r="HB13" s="456"/>
      <c r="HC13" s="456"/>
      <c r="HD13" s="456"/>
      <c r="HE13" s="456"/>
      <c r="HF13" s="456"/>
      <c r="HG13" s="456"/>
      <c r="HH13" s="456"/>
      <c r="HI13" s="456"/>
      <c r="HJ13" s="456"/>
      <c r="HK13" s="456"/>
      <c r="HL13" s="456"/>
      <c r="HM13" s="456"/>
      <c r="HN13" s="456"/>
      <c r="HO13" s="456"/>
      <c r="HP13" s="456"/>
      <c r="HQ13" s="456"/>
      <c r="HR13" s="456"/>
      <c r="HS13" s="456"/>
      <c r="HT13" s="456"/>
      <c r="HU13" s="456"/>
      <c r="HV13" s="456"/>
      <c r="HW13" s="456"/>
      <c r="HX13" s="456"/>
      <c r="HY13" s="456"/>
      <c r="HZ13" s="456"/>
      <c r="IA13" s="456"/>
      <c r="IB13" s="456"/>
      <c r="IC13" s="456"/>
      <c r="ID13" s="456"/>
      <c r="IE13" s="456"/>
      <c r="IF13" s="456"/>
      <c r="IG13" s="456"/>
      <c r="IH13" s="456"/>
      <c r="II13" s="456"/>
      <c r="IJ13" s="456"/>
      <c r="IK13" s="456"/>
      <c r="IL13" s="456"/>
      <c r="IM13" s="456"/>
      <c r="IN13" s="456"/>
      <c r="IO13" s="456"/>
      <c r="IP13" s="456"/>
      <c r="IQ13" s="456"/>
      <c r="IR13" s="456"/>
      <c r="IS13" s="456"/>
      <c r="IT13" s="456"/>
      <c r="IU13" s="456"/>
      <c r="IV13" s="456"/>
      <c r="IW13" s="456"/>
      <c r="IX13" s="456"/>
      <c r="IY13" s="456"/>
      <c r="IZ13" s="456"/>
      <c r="JA13" s="456"/>
      <c r="JB13" s="456"/>
      <c r="JC13" s="456"/>
      <c r="JD13" s="456"/>
      <c r="JE13" s="456"/>
      <c r="JF13" s="456"/>
      <c r="JG13" s="456"/>
      <c r="JH13" s="456"/>
      <c r="JI13" s="456"/>
      <c r="JJ13" s="456"/>
      <c r="JK13" s="456"/>
      <c r="JL13" s="456"/>
      <c r="JM13" s="456"/>
      <c r="JN13" s="456"/>
      <c r="JO13" s="456"/>
      <c r="JP13" s="456"/>
      <c r="JQ13" s="456"/>
      <c r="JR13" s="456"/>
      <c r="JS13" s="456"/>
      <c r="JT13" s="456"/>
      <c r="JU13" s="456"/>
      <c r="JV13" s="456"/>
      <c r="JW13" s="456"/>
      <c r="JX13" s="456"/>
      <c r="JY13" s="456"/>
      <c r="JZ13" s="456"/>
      <c r="KA13" s="456"/>
      <c r="KB13" s="456"/>
      <c r="KC13" s="456"/>
      <c r="KD13" s="456"/>
      <c r="KE13" s="456"/>
      <c r="KF13" s="456"/>
    </row>
    <row r="14" spans="1:292" ht="70" hidden="1" customHeight="1">
      <c r="A14" s="164" t="s">
        <v>78</v>
      </c>
      <c r="B14" s="308"/>
      <c r="C14" s="300" t="s">
        <v>71</v>
      </c>
      <c r="D14" s="308">
        <v>1473</v>
      </c>
      <c r="E14" s="308">
        <v>1815</v>
      </c>
      <c r="F14" s="305">
        <v>45505</v>
      </c>
      <c r="G14" s="306" t="s">
        <v>79</v>
      </c>
      <c r="H14" s="306"/>
      <c r="I14" s="44" t="s">
        <v>54</v>
      </c>
      <c r="J14" s="309"/>
      <c r="K14" s="234" t="s">
        <v>33</v>
      </c>
      <c r="L14" s="48" t="s">
        <v>34</v>
      </c>
      <c r="M14" s="48"/>
      <c r="N14" s="132">
        <v>45617</v>
      </c>
      <c r="O14" s="49">
        <v>45907</v>
      </c>
      <c r="P14" s="491">
        <v>45482</v>
      </c>
      <c r="Q14" s="491">
        <v>45605</v>
      </c>
      <c r="R14" s="491">
        <f>T14-55</f>
        <v>45690</v>
      </c>
      <c r="S14" s="492"/>
      <c r="T14" s="462">
        <v>45745</v>
      </c>
      <c r="U14" s="307"/>
      <c r="V14" s="256" t="s">
        <v>80</v>
      </c>
      <c r="W14" s="34" t="s">
        <v>76</v>
      </c>
      <c r="X14" s="493"/>
      <c r="Y14" s="493"/>
      <c r="Z14" s="493"/>
      <c r="AA14" s="486" t="s">
        <v>81</v>
      </c>
      <c r="AB14" s="486"/>
      <c r="AC14" s="486"/>
      <c r="AD14" s="486"/>
      <c r="AE14" s="486"/>
      <c r="AF14" s="487" t="s">
        <v>77</v>
      </c>
      <c r="AG14" s="487"/>
      <c r="AH14" s="487"/>
      <c r="AI14" s="487"/>
      <c r="AJ14" s="494"/>
      <c r="AK14" s="494"/>
      <c r="AL14" s="473"/>
      <c r="AM14" s="495" t="s">
        <v>66</v>
      </c>
      <c r="AN14" s="495"/>
      <c r="AO14" s="495"/>
      <c r="AP14" s="495"/>
      <c r="AQ14" s="495"/>
      <c r="AR14" s="495"/>
      <c r="AS14" s="3" t="s">
        <v>67</v>
      </c>
      <c r="AT14" s="3"/>
      <c r="AU14" s="3"/>
      <c r="AV14" s="456"/>
      <c r="AW14" s="496" t="s">
        <v>82</v>
      </c>
      <c r="AX14" s="465"/>
      <c r="AY14" s="465"/>
      <c r="AZ14" s="465"/>
      <c r="BA14" s="465"/>
      <c r="BB14" s="465"/>
      <c r="BC14" s="465"/>
      <c r="BD14" s="456"/>
      <c r="BE14" s="456"/>
      <c r="BF14" s="456"/>
      <c r="BG14" s="456"/>
      <c r="BH14" s="456"/>
      <c r="BI14" s="456"/>
      <c r="BJ14" s="456"/>
      <c r="BK14" s="456"/>
      <c r="BL14" s="456"/>
      <c r="BM14" s="456"/>
      <c r="BN14" s="456"/>
      <c r="BO14" s="456"/>
      <c r="BP14" s="3" t="s">
        <v>67</v>
      </c>
      <c r="BQ14" s="496" t="s">
        <v>83</v>
      </c>
      <c r="BR14" s="456"/>
      <c r="BS14" s="456"/>
      <c r="BT14" s="456"/>
      <c r="BU14" s="456"/>
      <c r="BV14" s="456"/>
      <c r="BW14" s="456"/>
      <c r="BX14" s="456"/>
      <c r="BY14" s="456"/>
      <c r="BZ14" s="456"/>
      <c r="CA14" s="456"/>
      <c r="CB14" s="456"/>
      <c r="CC14" s="456"/>
      <c r="CD14" s="459"/>
      <c r="CE14" s="456"/>
      <c r="CF14" s="465"/>
      <c r="CG14" s="465"/>
      <c r="CH14" s="465"/>
      <c r="CI14" s="465"/>
      <c r="CJ14" s="456"/>
      <c r="CK14" s="456"/>
      <c r="CL14" s="456"/>
      <c r="CM14" s="457"/>
      <c r="CN14" s="457"/>
      <c r="CO14" s="456"/>
      <c r="CP14" s="456"/>
      <c r="CQ14" s="456"/>
      <c r="CR14" s="456"/>
      <c r="CS14" s="456"/>
      <c r="CT14" s="456"/>
      <c r="CU14" s="456"/>
      <c r="CV14" s="456"/>
      <c r="CW14" s="456"/>
      <c r="CX14" s="456"/>
      <c r="CY14" s="456"/>
      <c r="CZ14" s="456"/>
      <c r="DA14" s="456"/>
      <c r="DB14" s="456"/>
      <c r="DC14" s="456"/>
      <c r="DD14" s="456"/>
      <c r="DE14" s="456"/>
      <c r="DF14" s="456"/>
      <c r="DG14" s="456"/>
      <c r="DH14" s="456"/>
      <c r="DI14" s="456"/>
      <c r="DJ14" s="456"/>
      <c r="DK14" s="456"/>
      <c r="DL14" s="456"/>
      <c r="DM14" s="456"/>
      <c r="DN14" s="456"/>
      <c r="DO14" s="456"/>
      <c r="DP14" s="456"/>
      <c r="DQ14" s="456"/>
      <c r="DR14" s="456"/>
      <c r="DS14" s="456"/>
      <c r="DT14" s="456"/>
      <c r="DU14" s="456"/>
      <c r="DV14" s="456"/>
      <c r="DW14" s="456"/>
      <c r="DX14" s="456"/>
      <c r="DY14" s="456"/>
      <c r="DZ14" s="456"/>
      <c r="EA14" s="456"/>
      <c r="EB14" s="456"/>
      <c r="EC14" s="456"/>
      <c r="ED14" s="456"/>
      <c r="EE14" s="456"/>
      <c r="EF14" s="456"/>
      <c r="EG14" s="456"/>
      <c r="EH14" s="456"/>
      <c r="EI14" s="456"/>
      <c r="EJ14" s="456"/>
      <c r="EK14" s="456"/>
      <c r="EL14" s="456"/>
      <c r="EM14" s="457"/>
      <c r="EN14" s="457"/>
      <c r="EO14" s="456"/>
      <c r="EP14" s="456"/>
      <c r="EQ14" s="456"/>
      <c r="ER14" s="456"/>
      <c r="ES14" s="456"/>
      <c r="ET14" s="456"/>
      <c r="EU14" s="456"/>
      <c r="EV14" s="456"/>
      <c r="EW14" s="456"/>
      <c r="EX14" s="456"/>
      <c r="EY14" s="456"/>
      <c r="EZ14" s="456"/>
      <c r="FA14" s="456"/>
      <c r="FB14" s="456"/>
      <c r="FC14" s="456"/>
      <c r="FD14" s="456"/>
      <c r="FE14" s="456"/>
      <c r="FF14" s="456"/>
      <c r="FG14" s="456"/>
      <c r="FH14" s="456"/>
      <c r="FI14" s="456"/>
      <c r="FJ14" s="456"/>
      <c r="FK14" s="456"/>
      <c r="FL14" s="456"/>
      <c r="FM14" s="456"/>
      <c r="FN14" s="456"/>
      <c r="FO14" s="456"/>
      <c r="FP14" s="456"/>
      <c r="FQ14" s="456"/>
      <c r="FR14" s="456"/>
      <c r="FS14" s="456"/>
      <c r="FT14" s="456"/>
      <c r="FU14" s="456"/>
      <c r="FV14" s="456"/>
      <c r="FW14" s="456"/>
      <c r="FX14" s="456"/>
      <c r="FY14" s="456"/>
      <c r="FZ14" s="456"/>
      <c r="GA14" s="456"/>
      <c r="GB14" s="456"/>
      <c r="GC14" s="456"/>
      <c r="GD14" s="456"/>
      <c r="GE14" s="456"/>
      <c r="GF14" s="456"/>
      <c r="GG14" s="456"/>
      <c r="GH14" s="456"/>
      <c r="GI14" s="456"/>
      <c r="GJ14" s="456"/>
      <c r="GK14" s="456"/>
      <c r="GL14" s="456"/>
      <c r="GM14" s="456"/>
      <c r="GN14" s="456"/>
      <c r="GO14" s="456"/>
      <c r="GP14" s="456"/>
      <c r="GQ14" s="456"/>
      <c r="GR14" s="456"/>
      <c r="GS14" s="456"/>
      <c r="GT14" s="456"/>
      <c r="GU14" s="456"/>
      <c r="GV14" s="456"/>
      <c r="GW14" s="456"/>
      <c r="GX14" s="456"/>
      <c r="GY14" s="456"/>
      <c r="GZ14" s="456"/>
      <c r="HA14" s="456"/>
      <c r="HB14" s="456"/>
      <c r="HC14" s="456"/>
      <c r="HD14" s="456"/>
      <c r="HE14" s="456"/>
      <c r="HF14" s="456"/>
      <c r="HG14" s="456"/>
      <c r="HH14" s="456"/>
      <c r="HI14" s="456"/>
      <c r="HJ14" s="456"/>
      <c r="HK14" s="456"/>
      <c r="HL14" s="456"/>
      <c r="HM14" s="456"/>
      <c r="HN14" s="456"/>
      <c r="HO14" s="456"/>
      <c r="HP14" s="456"/>
      <c r="HQ14" s="456"/>
      <c r="HR14" s="456"/>
      <c r="HS14" s="456"/>
      <c r="HT14" s="456"/>
      <c r="HU14" s="456"/>
      <c r="HV14" s="456"/>
      <c r="HW14" s="456"/>
      <c r="HX14" s="456"/>
      <c r="HY14" s="456"/>
      <c r="HZ14" s="456"/>
      <c r="IA14" s="456"/>
      <c r="IB14" s="456"/>
      <c r="IC14" s="456"/>
      <c r="ID14" s="456"/>
      <c r="IE14" s="456"/>
      <c r="IF14" s="456"/>
      <c r="IG14" s="456"/>
      <c r="IH14" s="456"/>
      <c r="II14" s="456"/>
      <c r="IJ14" s="456"/>
      <c r="IK14" s="456"/>
      <c r="IL14" s="456"/>
      <c r="IM14" s="456"/>
      <c r="IN14" s="456"/>
      <c r="IO14" s="456"/>
      <c r="IP14" s="456"/>
      <c r="IQ14" s="456"/>
      <c r="IR14" s="456"/>
      <c r="IS14" s="456"/>
      <c r="IT14" s="456"/>
      <c r="IU14" s="456"/>
      <c r="IV14" s="456"/>
      <c r="IW14" s="456"/>
      <c r="IX14" s="456"/>
      <c r="IY14" s="456"/>
      <c r="IZ14" s="456"/>
      <c r="JA14" s="456"/>
      <c r="JB14" s="456"/>
      <c r="JC14" s="456"/>
      <c r="JD14" s="456"/>
      <c r="JE14" s="456"/>
      <c r="JF14" s="456"/>
      <c r="JG14" s="456"/>
      <c r="JH14" s="456"/>
      <c r="JI14" s="456"/>
      <c r="JJ14" s="456"/>
      <c r="JK14" s="456"/>
      <c r="JL14" s="456"/>
      <c r="JM14" s="456"/>
      <c r="JN14" s="456"/>
      <c r="JO14" s="456"/>
      <c r="JP14" s="456"/>
      <c r="JQ14" s="456"/>
      <c r="JR14" s="456"/>
      <c r="JS14" s="456"/>
      <c r="JT14" s="456"/>
      <c r="JU14" s="456"/>
      <c r="JV14" s="456"/>
      <c r="JW14" s="456"/>
      <c r="JX14" s="456"/>
      <c r="JY14" s="456"/>
      <c r="JZ14" s="456"/>
      <c r="KA14" s="456"/>
      <c r="KB14" s="456"/>
      <c r="KC14" s="456"/>
      <c r="KD14" s="456"/>
      <c r="KE14" s="456"/>
      <c r="KF14" s="456"/>
    </row>
    <row r="15" spans="1:292" ht="70" hidden="1" customHeight="1">
      <c r="A15" s="165" t="s">
        <v>84</v>
      </c>
      <c r="B15" s="310"/>
      <c r="C15" s="311" t="s">
        <v>71</v>
      </c>
      <c r="D15" s="310">
        <v>1030</v>
      </c>
      <c r="E15" s="310">
        <v>1298</v>
      </c>
      <c r="F15" s="312">
        <v>45523</v>
      </c>
      <c r="G15" s="306" t="s">
        <v>85</v>
      </c>
      <c r="H15" s="313" t="s">
        <v>86</v>
      </c>
      <c r="I15" s="44" t="s">
        <v>678</v>
      </c>
      <c r="J15" s="314"/>
      <c r="K15" s="236"/>
      <c r="L15" s="41" t="s">
        <v>34</v>
      </c>
      <c r="M15" s="497"/>
      <c r="N15" s="141">
        <v>45737</v>
      </c>
      <c r="O15" s="61"/>
      <c r="P15" s="498"/>
      <c r="Q15" s="451"/>
      <c r="R15" s="451"/>
      <c r="S15" s="89"/>
      <c r="T15" s="499">
        <v>46011</v>
      </c>
      <c r="U15" s="315"/>
      <c r="V15" s="500" t="s">
        <v>696</v>
      </c>
      <c r="W15" s="75" t="s">
        <v>728</v>
      </c>
      <c r="X15" s="501"/>
      <c r="Y15" s="501"/>
      <c r="Z15" s="501"/>
      <c r="AA15" s="502" t="s">
        <v>87</v>
      </c>
      <c r="AB15" s="502"/>
      <c r="AC15" s="502"/>
      <c r="AD15" s="502"/>
      <c r="AE15" s="502"/>
      <c r="AF15" s="503" t="s">
        <v>81</v>
      </c>
      <c r="AG15" s="503"/>
      <c r="AH15" s="503"/>
      <c r="AI15" s="503"/>
      <c r="AJ15" s="504"/>
      <c r="AK15" s="504"/>
      <c r="AL15" s="471" t="s">
        <v>77</v>
      </c>
      <c r="AM15" s="471"/>
      <c r="AN15" s="471"/>
      <c r="AO15" s="471"/>
      <c r="AP15" s="471"/>
      <c r="AQ15" s="473"/>
      <c r="AR15" s="473"/>
      <c r="AS15" s="473"/>
      <c r="AT15" s="473"/>
      <c r="AU15" s="473"/>
      <c r="AV15" s="473"/>
      <c r="AW15" s="473"/>
      <c r="AX15" s="398" t="s">
        <v>88</v>
      </c>
      <c r="AY15" s="398"/>
      <c r="AZ15" s="398"/>
      <c r="BA15" s="398"/>
      <c r="BB15" s="398"/>
      <c r="BC15" s="398"/>
      <c r="BD15" s="398"/>
      <c r="BE15" s="398"/>
      <c r="BF15" s="398"/>
      <c r="BG15" s="398"/>
      <c r="BH15" s="398"/>
      <c r="BI15" s="398"/>
      <c r="BJ15" s="398"/>
      <c r="BK15" s="398"/>
      <c r="BL15" s="398"/>
      <c r="BM15" s="398"/>
      <c r="BN15" s="398"/>
      <c r="BO15" s="398"/>
      <c r="BP15" s="398"/>
      <c r="BQ15" s="398"/>
      <c r="BR15" s="398"/>
      <c r="BS15" s="398"/>
      <c r="BT15" s="398"/>
      <c r="BU15" s="398"/>
      <c r="BV15" s="398"/>
      <c r="BW15" s="398"/>
      <c r="BX15" s="398"/>
      <c r="BY15" s="398"/>
      <c r="BZ15" s="398"/>
      <c r="CA15" s="398"/>
      <c r="CB15" s="398"/>
      <c r="CC15" s="398"/>
      <c r="CD15" s="93" t="s">
        <v>67</v>
      </c>
      <c r="CE15" s="4"/>
      <c r="CF15" s="465"/>
      <c r="CG15" s="465"/>
      <c r="CH15" s="465"/>
      <c r="CI15" s="465"/>
      <c r="CJ15" s="456"/>
      <c r="CK15" s="456"/>
      <c r="CL15" s="456"/>
      <c r="CM15" s="457"/>
      <c r="CN15" s="457"/>
      <c r="CO15" s="456"/>
      <c r="CP15" s="456"/>
      <c r="CQ15" s="456"/>
      <c r="CR15" s="456"/>
      <c r="CS15" s="456"/>
      <c r="CT15" s="456"/>
      <c r="CU15" s="456"/>
      <c r="CV15" s="456"/>
      <c r="CW15" s="456"/>
      <c r="CX15" s="457"/>
      <c r="CY15" s="456"/>
      <c r="CZ15" s="456"/>
      <c r="DA15" s="456"/>
      <c r="DB15" s="456"/>
      <c r="DC15" s="456"/>
      <c r="DD15" s="456"/>
      <c r="DE15" s="456"/>
      <c r="DF15" s="456"/>
      <c r="DG15" s="456"/>
      <c r="DH15" s="456"/>
      <c r="DI15" s="456"/>
      <c r="DJ15" s="456"/>
      <c r="DK15" s="456"/>
      <c r="DL15" s="456"/>
      <c r="DM15" s="456"/>
      <c r="DN15" s="456"/>
      <c r="DO15" s="456"/>
      <c r="DP15" s="456"/>
      <c r="DQ15" s="456"/>
      <c r="DR15" s="456"/>
      <c r="DS15" s="456"/>
      <c r="DT15" s="456"/>
      <c r="DU15" s="456"/>
      <c r="DV15" s="456"/>
      <c r="DW15" s="456"/>
      <c r="DX15" s="456"/>
      <c r="DY15" s="456"/>
      <c r="DZ15" s="456"/>
      <c r="EA15" s="456"/>
      <c r="EB15" s="456"/>
      <c r="EC15" s="456"/>
      <c r="ED15" s="456"/>
      <c r="EE15" s="456"/>
      <c r="EF15" s="456"/>
      <c r="EG15" s="456"/>
      <c r="EH15" s="456"/>
      <c r="EI15" s="456"/>
      <c r="EJ15" s="456"/>
      <c r="EK15" s="456"/>
      <c r="EL15" s="457"/>
      <c r="EM15" s="457"/>
      <c r="EN15" s="456"/>
      <c r="EO15" s="456"/>
      <c r="EP15" s="456"/>
      <c r="EQ15" s="456"/>
      <c r="ER15" s="456"/>
      <c r="ES15" s="456"/>
      <c r="ET15" s="456"/>
      <c r="EU15" s="456"/>
      <c r="EV15" s="456"/>
      <c r="EW15" s="456"/>
      <c r="EX15" s="456"/>
      <c r="EY15" s="456"/>
      <c r="EZ15" s="456"/>
      <c r="FA15" s="456"/>
      <c r="FB15" s="456"/>
      <c r="FC15" s="456"/>
      <c r="FD15" s="456"/>
      <c r="FE15" s="456"/>
      <c r="FF15" s="456"/>
      <c r="FG15" s="456"/>
      <c r="FH15" s="456"/>
      <c r="FI15" s="456"/>
      <c r="FJ15" s="456"/>
      <c r="FK15" s="456"/>
      <c r="FL15" s="456"/>
      <c r="FM15" s="456"/>
      <c r="FN15" s="456"/>
      <c r="FO15" s="456"/>
      <c r="FP15" s="456"/>
      <c r="FQ15" s="456"/>
      <c r="FR15" s="456"/>
      <c r="FS15" s="456"/>
      <c r="FT15" s="456"/>
      <c r="FU15" s="456"/>
      <c r="FV15" s="456"/>
      <c r="FW15" s="456"/>
      <c r="FX15" s="456"/>
      <c r="FY15" s="456"/>
      <c r="FZ15" s="456"/>
      <c r="GA15" s="456"/>
      <c r="GB15" s="456"/>
      <c r="GC15" s="456"/>
      <c r="GD15" s="456"/>
      <c r="GE15" s="456"/>
      <c r="GF15" s="456"/>
      <c r="GG15" s="456"/>
      <c r="GH15" s="456"/>
      <c r="GI15" s="456"/>
      <c r="GJ15" s="457"/>
      <c r="GK15" s="457"/>
      <c r="GL15" s="456"/>
      <c r="GM15" s="456"/>
      <c r="GN15" s="456"/>
      <c r="GO15" s="456"/>
      <c r="GP15" s="456"/>
      <c r="GQ15" s="456"/>
      <c r="GR15" s="456"/>
      <c r="GS15" s="456"/>
      <c r="GT15" s="456"/>
      <c r="GU15" s="456"/>
      <c r="GV15" s="456"/>
      <c r="GW15" s="456"/>
      <c r="GX15" s="456"/>
      <c r="GY15" s="456"/>
      <c r="GZ15" s="456"/>
      <c r="HA15" s="456"/>
      <c r="HB15" s="456"/>
      <c r="HC15" s="456"/>
      <c r="HD15" s="456"/>
      <c r="HE15" s="456"/>
      <c r="HF15" s="456"/>
      <c r="HG15" s="456"/>
      <c r="HH15" s="456"/>
      <c r="HI15" s="456"/>
      <c r="HJ15" s="456"/>
      <c r="HK15" s="456"/>
      <c r="HL15" s="456"/>
      <c r="HM15" s="456"/>
      <c r="HN15" s="456"/>
      <c r="HO15" s="456"/>
      <c r="HP15" s="456"/>
      <c r="HQ15" s="456"/>
      <c r="HR15" s="456"/>
      <c r="HS15" s="456"/>
      <c r="HT15" s="456"/>
      <c r="HU15" s="456"/>
      <c r="HV15" s="456"/>
      <c r="HW15" s="456"/>
      <c r="HX15" s="456"/>
      <c r="HY15" s="456"/>
      <c r="HZ15" s="456"/>
      <c r="IA15" s="456"/>
      <c r="IB15" s="456"/>
      <c r="IC15" s="456"/>
      <c r="ID15" s="456"/>
      <c r="IE15" s="456"/>
      <c r="IF15" s="456"/>
      <c r="IG15" s="456"/>
      <c r="IH15" s="456"/>
      <c r="II15" s="456"/>
      <c r="IJ15" s="456"/>
      <c r="IK15" s="456"/>
      <c r="IL15" s="456"/>
      <c r="IM15" s="456"/>
      <c r="IN15" s="457"/>
      <c r="IO15" s="457"/>
      <c r="IP15" s="456"/>
      <c r="IQ15" s="456"/>
      <c r="IR15" s="456"/>
      <c r="IS15" s="456"/>
      <c r="IT15" s="456"/>
      <c r="IU15" s="456"/>
      <c r="IV15" s="456"/>
      <c r="IW15" s="456"/>
      <c r="IX15" s="456"/>
      <c r="IY15" s="456"/>
      <c r="IZ15" s="456"/>
      <c r="JA15" s="456"/>
      <c r="JB15" s="456"/>
      <c r="JC15" s="456"/>
      <c r="JD15" s="456"/>
      <c r="JE15" s="456"/>
      <c r="JF15" s="456"/>
      <c r="JG15" s="456"/>
      <c r="JH15" s="456"/>
      <c r="JI15" s="456"/>
      <c r="JJ15" s="456"/>
      <c r="JK15" s="456"/>
      <c r="JL15" s="456"/>
      <c r="JM15" s="456"/>
      <c r="JN15" s="456"/>
      <c r="JO15" s="456"/>
      <c r="JP15" s="456"/>
      <c r="JQ15" s="456"/>
      <c r="JR15" s="456"/>
      <c r="JS15" s="456"/>
      <c r="JT15" s="456"/>
      <c r="JU15" s="456"/>
      <c r="JV15" s="456"/>
      <c r="JW15" s="456"/>
      <c r="JX15" s="456"/>
      <c r="JY15" s="456"/>
      <c r="JZ15" s="456"/>
      <c r="KA15" s="456"/>
      <c r="KB15" s="456"/>
      <c r="KC15" s="456"/>
      <c r="KD15" s="456"/>
      <c r="KE15" s="456"/>
      <c r="KF15" s="456"/>
    </row>
    <row r="16" spans="1:292" ht="70" customHeight="1">
      <c r="A16" s="166" t="s">
        <v>89</v>
      </c>
      <c r="B16" s="311"/>
      <c r="C16" s="311" t="s">
        <v>71</v>
      </c>
      <c r="D16" s="311">
        <v>447</v>
      </c>
      <c r="E16" s="310">
        <v>1034</v>
      </c>
      <c r="F16" s="316">
        <v>45526</v>
      </c>
      <c r="G16" s="306" t="s">
        <v>90</v>
      </c>
      <c r="H16" s="313" t="s">
        <v>86</v>
      </c>
      <c r="I16" s="41" t="s">
        <v>690</v>
      </c>
      <c r="J16" s="317"/>
      <c r="K16" s="236"/>
      <c r="L16" s="41" t="s">
        <v>34</v>
      </c>
      <c r="M16" s="497"/>
      <c r="N16" s="141">
        <v>45767</v>
      </c>
      <c r="O16" s="61"/>
      <c r="P16" s="498"/>
      <c r="Q16" s="451"/>
      <c r="R16" s="451"/>
      <c r="S16" s="90"/>
      <c r="T16" s="499">
        <v>46214</v>
      </c>
      <c r="U16" s="318"/>
      <c r="V16" s="500" t="s">
        <v>759</v>
      </c>
      <c r="W16" s="209" t="s">
        <v>729</v>
      </c>
      <c r="X16" s="456"/>
      <c r="Y16" s="456"/>
      <c r="Z16" s="456"/>
      <c r="AA16" s="501" t="s">
        <v>91</v>
      </c>
      <c r="AB16" s="505"/>
      <c r="AC16" s="505"/>
      <c r="AD16" s="17"/>
      <c r="AE16" s="17"/>
      <c r="AF16" s="506" t="s">
        <v>87</v>
      </c>
      <c r="AG16" s="506"/>
      <c r="AH16" s="506"/>
      <c r="AI16" s="506"/>
      <c r="AJ16" s="457"/>
      <c r="AK16" s="457"/>
      <c r="AL16" s="507" t="s">
        <v>81</v>
      </c>
      <c r="AM16" s="507"/>
      <c r="AN16" s="507"/>
      <c r="AO16" s="507"/>
      <c r="AP16" s="507"/>
      <c r="AQ16" s="471"/>
      <c r="AR16" s="471"/>
      <c r="AS16" s="471"/>
      <c r="AT16" s="471"/>
      <c r="AU16" s="471"/>
      <c r="AV16" s="473" t="s">
        <v>66</v>
      </c>
      <c r="AW16" s="473"/>
      <c r="AX16" s="473"/>
      <c r="AY16" s="473"/>
      <c r="AZ16" s="473"/>
      <c r="BA16" s="473"/>
      <c r="BB16" s="473"/>
      <c r="BC16" s="473"/>
      <c r="BD16" s="398" t="s">
        <v>92</v>
      </c>
      <c r="BE16" s="398"/>
      <c r="BF16" s="398"/>
      <c r="BG16" s="398"/>
      <c r="BH16" s="398"/>
      <c r="BI16" s="398"/>
      <c r="BJ16" s="398"/>
      <c r="BK16" s="398"/>
      <c r="BL16" s="398"/>
      <c r="BM16" s="398"/>
      <c r="BN16" s="398"/>
      <c r="BO16" s="398"/>
      <c r="BP16" s="398"/>
      <c r="BQ16" s="398"/>
      <c r="BR16" s="398"/>
      <c r="BS16" s="398"/>
      <c r="BT16" s="398"/>
      <c r="BU16" s="398"/>
      <c r="BV16" s="398"/>
      <c r="BW16" s="398"/>
      <c r="BX16" s="398"/>
      <c r="BY16" s="398"/>
      <c r="BZ16" s="398"/>
      <c r="CA16" s="398"/>
      <c r="CB16" s="398"/>
      <c r="CC16" s="398"/>
      <c r="CD16" s="398"/>
      <c r="CE16" s="398"/>
      <c r="CF16" s="398"/>
      <c r="CG16" s="398"/>
      <c r="CH16" s="398"/>
      <c r="CI16" s="398"/>
      <c r="CJ16" s="398"/>
      <c r="CK16" s="4" t="s">
        <v>67</v>
      </c>
      <c r="CL16" s="4"/>
      <c r="CM16" s="457"/>
      <c r="CN16" s="457"/>
      <c r="CO16" s="4"/>
      <c r="CP16" s="4"/>
      <c r="CQ16" s="4"/>
      <c r="CR16" s="4"/>
      <c r="CS16" s="4"/>
      <c r="CT16" s="4"/>
      <c r="CU16" s="4"/>
      <c r="CV16" s="4"/>
      <c r="CW16" s="4"/>
      <c r="CX16" s="457"/>
      <c r="CY16" s="4"/>
      <c r="CZ16" s="4"/>
      <c r="DA16" s="4"/>
      <c r="DB16" s="4"/>
      <c r="DC16" s="4"/>
      <c r="DD16" s="392"/>
      <c r="DE16" s="392"/>
      <c r="DF16" s="392"/>
      <c r="DG16" s="392"/>
      <c r="DH16" s="392"/>
      <c r="DI16" s="456"/>
      <c r="DJ16" s="456"/>
      <c r="DK16" s="456"/>
      <c r="DL16" s="456"/>
      <c r="DM16" s="456"/>
      <c r="DN16" s="456"/>
      <c r="DO16" s="456"/>
      <c r="DP16" s="456"/>
      <c r="DQ16" s="456"/>
      <c r="DR16" s="456"/>
      <c r="DS16" s="456"/>
      <c r="DT16" s="456"/>
      <c r="DU16" s="456"/>
      <c r="DV16" s="456"/>
      <c r="DW16" s="456"/>
      <c r="DX16" s="456"/>
      <c r="DY16" s="456"/>
      <c r="DZ16" s="456"/>
      <c r="EA16" s="456"/>
      <c r="EB16" s="456"/>
      <c r="EC16" s="456"/>
      <c r="ED16" s="456"/>
      <c r="EE16" s="456"/>
      <c r="EF16" s="456"/>
      <c r="EG16" s="456"/>
      <c r="EH16" s="456"/>
      <c r="EI16" s="456"/>
      <c r="EJ16" s="456"/>
      <c r="EK16" s="456"/>
      <c r="EL16" s="457"/>
      <c r="EM16" s="457"/>
      <c r="EN16" s="456"/>
      <c r="EO16" s="456"/>
      <c r="EP16" s="456"/>
      <c r="EQ16" s="456"/>
      <c r="ER16" s="456"/>
      <c r="ES16" s="456"/>
      <c r="ET16" s="456"/>
      <c r="EU16" s="456"/>
      <c r="EV16" s="456"/>
      <c r="EW16" s="456"/>
      <c r="EX16" s="456"/>
      <c r="EY16" s="456"/>
      <c r="EZ16" s="456"/>
      <c r="FA16" s="456"/>
      <c r="FB16" s="456"/>
      <c r="FC16" s="456"/>
      <c r="FD16" s="456"/>
      <c r="FE16" s="456"/>
      <c r="FF16" s="456"/>
      <c r="FG16" s="456"/>
      <c r="FH16" s="456"/>
      <c r="FI16" s="456"/>
      <c r="FJ16" s="456"/>
      <c r="FK16" s="456"/>
      <c r="FL16" s="456"/>
      <c r="FM16" s="456"/>
      <c r="FN16" s="456"/>
      <c r="FO16" s="456"/>
      <c r="FP16" s="456"/>
      <c r="FQ16" s="456"/>
      <c r="FR16" s="456"/>
      <c r="FS16" s="456"/>
      <c r="FT16" s="456"/>
      <c r="FU16" s="456"/>
      <c r="FV16" s="456"/>
      <c r="FW16" s="456"/>
      <c r="FX16" s="456"/>
      <c r="FY16" s="456"/>
      <c r="FZ16" s="456"/>
      <c r="GA16" s="456"/>
      <c r="GB16" s="456"/>
      <c r="GC16" s="456"/>
      <c r="GD16" s="456"/>
      <c r="GE16" s="456"/>
      <c r="GF16" s="456"/>
      <c r="GG16" s="456"/>
      <c r="GH16" s="456"/>
      <c r="GI16" s="456"/>
      <c r="GJ16" s="457"/>
      <c r="GK16" s="457"/>
      <c r="GL16" s="456"/>
      <c r="GM16" s="456"/>
      <c r="GN16" s="456"/>
      <c r="GO16" s="456"/>
      <c r="GP16" s="456"/>
      <c r="GQ16" s="456"/>
      <c r="GR16" s="456"/>
      <c r="GS16" s="456"/>
      <c r="GT16" s="456"/>
      <c r="GU16" s="456"/>
      <c r="GV16" s="456"/>
      <c r="GW16" s="456"/>
      <c r="GX16" s="456"/>
      <c r="GY16" s="456"/>
      <c r="GZ16" s="456"/>
      <c r="HA16" s="456"/>
      <c r="HB16" s="456"/>
      <c r="HC16" s="456"/>
      <c r="HD16" s="456"/>
      <c r="HE16" s="456"/>
      <c r="HF16" s="456"/>
      <c r="HG16" s="456"/>
      <c r="HH16" s="456"/>
      <c r="HI16" s="456"/>
      <c r="HJ16" s="456"/>
      <c r="HK16" s="456"/>
      <c r="HL16" s="456"/>
      <c r="HM16" s="456"/>
      <c r="HN16" s="456"/>
      <c r="HO16" s="456"/>
      <c r="HP16" s="456"/>
      <c r="HQ16" s="456"/>
      <c r="HR16" s="456"/>
      <c r="HS16" s="456"/>
      <c r="HT16" s="456"/>
      <c r="HU16" s="456"/>
      <c r="HV16" s="456"/>
      <c r="HW16" s="456"/>
      <c r="HX16" s="456"/>
      <c r="HY16" s="456"/>
      <c r="HZ16" s="456"/>
      <c r="IA16" s="456"/>
      <c r="IB16" s="456"/>
      <c r="IC16" s="456"/>
      <c r="ID16" s="456"/>
      <c r="IE16" s="456"/>
      <c r="IF16" s="456"/>
      <c r="IG16" s="456"/>
      <c r="IH16" s="456"/>
      <c r="II16" s="456"/>
      <c r="IJ16" s="456"/>
      <c r="IK16" s="456"/>
      <c r="IL16" s="456"/>
      <c r="IM16" s="456"/>
      <c r="IN16" s="457"/>
      <c r="IO16" s="457"/>
      <c r="IP16" s="456"/>
      <c r="IQ16" s="456"/>
      <c r="IR16" s="456"/>
      <c r="IS16" s="456"/>
      <c r="IT16" s="456"/>
      <c r="IU16" s="456"/>
      <c r="IV16" s="456"/>
      <c r="IW16" s="456"/>
      <c r="IX16" s="456"/>
      <c r="IY16" s="456"/>
      <c r="IZ16" s="456"/>
      <c r="JA16" s="456"/>
      <c r="JB16" s="456"/>
      <c r="JC16" s="456"/>
      <c r="JD16" s="456"/>
      <c r="JE16" s="456"/>
      <c r="JF16" s="456"/>
      <c r="JG16" s="456"/>
      <c r="JH16" s="456"/>
      <c r="JI16" s="456"/>
      <c r="JJ16" s="456"/>
      <c r="JK16" s="456"/>
      <c r="JL16" s="456"/>
      <c r="JM16" s="456"/>
      <c r="JN16" s="456"/>
      <c r="JO16" s="456"/>
      <c r="JP16" s="456"/>
      <c r="JQ16" s="456"/>
      <c r="JR16" s="456"/>
      <c r="JS16" s="456"/>
      <c r="JT16" s="456"/>
      <c r="JU16" s="456"/>
      <c r="JV16" s="456"/>
      <c r="JW16" s="456"/>
      <c r="JX16" s="456"/>
      <c r="JY16" s="456"/>
      <c r="JZ16" s="456"/>
      <c r="KA16" s="456"/>
      <c r="KB16" s="456"/>
      <c r="KC16" s="456"/>
      <c r="KD16" s="456"/>
      <c r="KE16" s="456"/>
      <c r="KF16" s="456"/>
    </row>
    <row r="17" spans="1:292" ht="70" hidden="1" customHeight="1">
      <c r="A17" s="163" t="s">
        <v>93</v>
      </c>
      <c r="B17" s="319"/>
      <c r="C17" s="311" t="s">
        <v>71</v>
      </c>
      <c r="D17" s="319">
        <v>408</v>
      </c>
      <c r="E17" s="310">
        <v>736</v>
      </c>
      <c r="F17" s="316">
        <v>45526</v>
      </c>
      <c r="G17" s="306" t="s">
        <v>94</v>
      </c>
      <c r="H17" s="313" t="s">
        <v>95</v>
      </c>
      <c r="I17" s="41" t="s">
        <v>680</v>
      </c>
      <c r="J17" s="317" t="s">
        <v>679</v>
      </c>
      <c r="K17" s="237"/>
      <c r="L17" s="41" t="s">
        <v>34</v>
      </c>
      <c r="M17" s="497"/>
      <c r="N17" s="141"/>
      <c r="O17" s="61"/>
      <c r="P17" s="498"/>
      <c r="Q17" s="461"/>
      <c r="R17" s="451"/>
      <c r="S17" s="91"/>
      <c r="T17" s="499">
        <v>46123</v>
      </c>
      <c r="U17" s="508"/>
      <c r="V17" s="500" t="s">
        <v>696</v>
      </c>
      <c r="W17" s="209" t="s">
        <v>729</v>
      </c>
      <c r="X17" s="456"/>
      <c r="Y17" s="456"/>
      <c r="Z17" s="456"/>
      <c r="AA17" s="16"/>
      <c r="AB17" s="456"/>
      <c r="AC17" s="456"/>
      <c r="AD17" s="456"/>
      <c r="AE17" s="456"/>
      <c r="AF17" s="501" t="s">
        <v>91</v>
      </c>
      <c r="AG17" s="505"/>
      <c r="AH17" s="505"/>
      <c r="AI17" s="505"/>
      <c r="AJ17" s="457"/>
      <c r="AK17" s="457"/>
      <c r="AL17" s="506" t="s">
        <v>87</v>
      </c>
      <c r="AM17" s="506"/>
      <c r="AN17" s="506"/>
      <c r="AO17" s="506"/>
      <c r="AP17" s="506" t="s">
        <v>81</v>
      </c>
      <c r="AQ17" s="507"/>
      <c r="AR17" s="507"/>
      <c r="AS17" s="507"/>
      <c r="AT17" s="507"/>
      <c r="AU17" s="507"/>
      <c r="AV17" s="471" t="s">
        <v>77</v>
      </c>
      <c r="AW17" s="471"/>
      <c r="AX17" s="471"/>
      <c r="AY17" s="471"/>
      <c r="AZ17" s="471"/>
      <c r="BA17" s="471"/>
      <c r="BB17" s="471"/>
      <c r="BC17" s="471"/>
      <c r="BD17" s="473" t="s">
        <v>66</v>
      </c>
      <c r="BE17" s="473"/>
      <c r="BF17" s="473"/>
      <c r="BG17" s="473"/>
      <c r="BH17" s="473"/>
      <c r="BI17" s="473"/>
      <c r="BJ17" s="473"/>
      <c r="BK17" s="473"/>
      <c r="BL17" s="399" t="s">
        <v>96</v>
      </c>
      <c r="BM17" s="399"/>
      <c r="BN17" s="399"/>
      <c r="BO17" s="399"/>
      <c r="BP17" s="399"/>
      <c r="BQ17" s="399"/>
      <c r="BR17" s="399"/>
      <c r="BS17" s="399"/>
      <c r="BT17" s="399"/>
      <c r="BU17" s="399"/>
      <c r="BV17" s="399"/>
      <c r="BW17" s="399"/>
      <c r="BX17" s="399"/>
      <c r="BY17" s="399"/>
      <c r="BZ17" s="399"/>
      <c r="CA17" s="399"/>
      <c r="CB17" s="399"/>
      <c r="CC17" s="399"/>
      <c r="CD17" s="399"/>
      <c r="CE17" s="399"/>
      <c r="CF17" s="399"/>
      <c r="CG17" s="399"/>
      <c r="CH17" s="399"/>
      <c r="CI17" s="399"/>
      <c r="CJ17" s="399"/>
      <c r="CK17" s="399"/>
      <c r="CL17" s="399"/>
      <c r="CM17" s="457"/>
      <c r="CN17" s="457"/>
      <c r="CO17" s="398" t="s">
        <v>97</v>
      </c>
      <c r="CP17" s="398"/>
      <c r="CQ17" s="398"/>
      <c r="CR17" s="398"/>
      <c r="CS17" s="398"/>
      <c r="CT17" s="4" t="s">
        <v>67</v>
      </c>
      <c r="CU17" s="4"/>
      <c r="CV17" s="456"/>
      <c r="CW17" s="456"/>
      <c r="CX17" s="457"/>
      <c r="CY17" s="456"/>
      <c r="CZ17" s="456"/>
      <c r="DA17" s="456"/>
      <c r="DB17" s="456"/>
      <c r="DC17" s="456"/>
      <c r="DD17" s="456"/>
      <c r="DE17" s="456"/>
      <c r="DF17" s="456"/>
      <c r="DG17" s="456"/>
      <c r="DH17" s="456"/>
      <c r="DI17" s="456"/>
      <c r="DJ17" s="456"/>
      <c r="DK17" s="456"/>
      <c r="DL17" s="456"/>
      <c r="DM17" s="456"/>
      <c r="DN17" s="456"/>
      <c r="DO17" s="456"/>
      <c r="DP17" s="456"/>
      <c r="DQ17" s="456"/>
      <c r="DR17" s="456"/>
      <c r="DS17" s="456"/>
      <c r="DT17" s="456"/>
      <c r="DU17" s="456"/>
      <c r="DV17" s="456"/>
      <c r="DW17" s="456"/>
      <c r="DX17" s="456"/>
      <c r="DY17" s="456"/>
      <c r="DZ17" s="456"/>
      <c r="EA17" s="456"/>
      <c r="EB17" s="456"/>
      <c r="EC17" s="456"/>
      <c r="ED17" s="456"/>
      <c r="EE17" s="456"/>
      <c r="EF17" s="456"/>
      <c r="EG17" s="456"/>
      <c r="EH17" s="456"/>
      <c r="EI17" s="456"/>
      <c r="EJ17" s="456"/>
      <c r="EK17" s="456"/>
      <c r="EL17" s="457"/>
      <c r="EM17" s="457"/>
      <c r="EN17" s="456"/>
      <c r="EO17" s="456"/>
      <c r="EP17" s="456"/>
      <c r="EQ17" s="456"/>
      <c r="ER17" s="456"/>
      <c r="ES17" s="456"/>
      <c r="ET17" s="456"/>
      <c r="EU17" s="456"/>
      <c r="EV17" s="456"/>
      <c r="EW17" s="456"/>
      <c r="EX17" s="456"/>
      <c r="EY17" s="456"/>
      <c r="EZ17" s="456"/>
      <c r="FA17" s="456"/>
      <c r="FB17" s="456"/>
      <c r="FC17" s="456"/>
      <c r="FD17" s="456"/>
      <c r="FE17" s="456"/>
      <c r="FF17" s="456"/>
      <c r="FG17" s="456"/>
      <c r="FH17" s="456"/>
      <c r="FI17" s="456"/>
      <c r="FJ17" s="456"/>
      <c r="FK17" s="456"/>
      <c r="FL17" s="456"/>
      <c r="FM17" s="456"/>
      <c r="FN17" s="456"/>
      <c r="FO17" s="456"/>
      <c r="FP17" s="456"/>
      <c r="FQ17" s="456"/>
      <c r="FR17" s="456"/>
      <c r="FS17" s="456"/>
      <c r="FT17" s="456"/>
      <c r="FU17" s="456"/>
      <c r="FV17" s="456"/>
      <c r="FW17" s="456"/>
      <c r="FX17" s="456"/>
      <c r="FY17" s="456"/>
      <c r="FZ17" s="456"/>
      <c r="GA17" s="456"/>
      <c r="GB17" s="456"/>
      <c r="GC17" s="456"/>
      <c r="GD17" s="458"/>
      <c r="GE17" s="458"/>
      <c r="GF17" s="458"/>
      <c r="GG17" s="458"/>
      <c r="GH17" s="458"/>
      <c r="GI17" s="458"/>
      <c r="GJ17" s="470"/>
      <c r="GK17" s="470"/>
      <c r="GL17" s="458"/>
      <c r="GM17" s="456"/>
      <c r="GN17" s="456"/>
      <c r="GO17" s="456"/>
      <c r="GP17" s="458"/>
      <c r="GQ17" s="458"/>
      <c r="GR17" s="458"/>
      <c r="GS17" s="458"/>
      <c r="GT17" s="458"/>
      <c r="GU17" s="458"/>
      <c r="GV17" s="458"/>
      <c r="GW17" s="458"/>
      <c r="GX17" s="458"/>
      <c r="GY17" s="458"/>
      <c r="GZ17" s="458"/>
      <c r="HA17" s="458"/>
      <c r="HB17" s="458"/>
      <c r="HC17" s="458"/>
      <c r="HD17" s="458"/>
      <c r="HE17" s="458"/>
      <c r="HF17" s="458"/>
      <c r="HG17" s="458"/>
      <c r="HH17" s="458"/>
      <c r="HI17" s="458"/>
      <c r="HJ17" s="458"/>
      <c r="HK17" s="458"/>
      <c r="HL17" s="458"/>
      <c r="HM17" s="458"/>
      <c r="HN17" s="456"/>
      <c r="HO17" s="456"/>
      <c r="HP17" s="456"/>
      <c r="HQ17" s="456"/>
      <c r="HR17" s="456"/>
      <c r="HS17" s="456"/>
      <c r="HT17" s="456"/>
      <c r="HU17" s="456"/>
      <c r="HV17" s="456"/>
      <c r="HW17" s="456"/>
      <c r="HX17" s="456"/>
      <c r="HY17" s="456"/>
      <c r="HZ17" s="456"/>
      <c r="IA17" s="456"/>
      <c r="IB17" s="456"/>
      <c r="IC17" s="456"/>
      <c r="ID17" s="456"/>
      <c r="IE17" s="456"/>
      <c r="IF17" s="456"/>
      <c r="IG17" s="456"/>
      <c r="IH17" s="456"/>
      <c r="II17" s="456"/>
      <c r="IJ17" s="456"/>
      <c r="IK17" s="456"/>
      <c r="IL17" s="456"/>
      <c r="IM17" s="456"/>
      <c r="IN17" s="457"/>
      <c r="IO17" s="457"/>
      <c r="IP17" s="456"/>
      <c r="IQ17" s="456"/>
      <c r="IR17" s="456"/>
      <c r="IS17" s="456"/>
      <c r="IT17" s="456"/>
      <c r="IU17" s="456"/>
      <c r="IV17" s="456"/>
      <c r="IW17" s="456"/>
      <c r="IX17" s="456"/>
      <c r="IY17" s="456"/>
      <c r="IZ17" s="456"/>
      <c r="JA17" s="456"/>
      <c r="JB17" s="456"/>
      <c r="JC17" s="456"/>
      <c r="JD17" s="456"/>
      <c r="JE17" s="456"/>
      <c r="JF17" s="456"/>
      <c r="JG17" s="456"/>
      <c r="JH17" s="456"/>
      <c r="JI17" s="456"/>
      <c r="JJ17" s="456"/>
      <c r="JK17" s="456"/>
      <c r="JL17" s="456"/>
      <c r="JM17" s="456"/>
      <c r="JN17" s="456"/>
      <c r="JO17" s="456"/>
      <c r="JP17" s="456"/>
      <c r="JQ17" s="456"/>
      <c r="JR17" s="456"/>
      <c r="JS17" s="456"/>
      <c r="JT17" s="456"/>
      <c r="JU17" s="456"/>
      <c r="JV17" s="456"/>
      <c r="JW17" s="456"/>
      <c r="JX17" s="456"/>
      <c r="JY17" s="456"/>
      <c r="JZ17" s="456"/>
      <c r="KA17" s="456"/>
      <c r="KB17" s="456"/>
      <c r="KC17" s="456"/>
      <c r="KD17" s="456"/>
      <c r="KE17" s="456"/>
      <c r="KF17" s="456"/>
    </row>
    <row r="18" spans="1:292" ht="70" customHeight="1">
      <c r="A18" s="167" t="s">
        <v>98</v>
      </c>
      <c r="B18" s="320"/>
      <c r="C18" s="311" t="s">
        <v>71</v>
      </c>
      <c r="D18" s="320">
        <v>165</v>
      </c>
      <c r="E18" s="310">
        <v>221</v>
      </c>
      <c r="F18" s="316">
        <v>45548</v>
      </c>
      <c r="G18" s="306" t="s">
        <v>99</v>
      </c>
      <c r="H18" s="313" t="s">
        <v>95</v>
      </c>
      <c r="I18" s="41" t="s">
        <v>54</v>
      </c>
      <c r="J18" s="41" t="s">
        <v>677</v>
      </c>
      <c r="K18" s="237"/>
      <c r="L18" s="321" t="s">
        <v>73</v>
      </c>
      <c r="M18" s="497"/>
      <c r="N18" s="141"/>
      <c r="O18" s="61"/>
      <c r="P18" s="509"/>
      <c r="Q18" s="461"/>
      <c r="R18" s="451"/>
      <c r="S18" s="92"/>
      <c r="T18" s="499">
        <v>46221</v>
      </c>
      <c r="U18" s="510"/>
      <c r="V18" s="511" t="s">
        <v>760</v>
      </c>
      <c r="W18" s="209" t="s">
        <v>729</v>
      </c>
      <c r="X18" s="18"/>
      <c r="Y18" s="458"/>
      <c r="Z18" s="458"/>
      <c r="AA18" s="458"/>
      <c r="AB18" s="458"/>
      <c r="AC18" s="512"/>
      <c r="AD18" s="512"/>
      <c r="AE18" s="512"/>
      <c r="AF18" s="512"/>
      <c r="AG18" s="458"/>
      <c r="AH18" s="458"/>
      <c r="AI18" s="458"/>
      <c r="AJ18" s="470"/>
      <c r="AK18" s="470"/>
      <c r="AL18" s="501" t="s">
        <v>91</v>
      </c>
      <c r="AM18" s="513"/>
      <c r="AN18" s="513"/>
      <c r="AO18" s="513"/>
      <c r="AP18" s="513"/>
      <c r="AQ18" s="506" t="s">
        <v>87</v>
      </c>
      <c r="AR18" s="514"/>
      <c r="AS18" s="514"/>
      <c r="AT18" s="514"/>
      <c r="AU18" s="514"/>
      <c r="AV18" s="515" t="s">
        <v>81</v>
      </c>
      <c r="AW18" s="515"/>
      <c r="AX18" s="515"/>
      <c r="AY18" s="515"/>
      <c r="AZ18" s="515"/>
      <c r="BA18" s="515"/>
      <c r="BB18" s="515"/>
      <c r="BC18" s="515"/>
      <c r="BD18" s="471" t="s">
        <v>77</v>
      </c>
      <c r="BE18" s="471"/>
      <c r="BF18" s="471"/>
      <c r="BG18" s="471"/>
      <c r="BH18" s="471"/>
      <c r="BI18" s="471"/>
      <c r="BJ18" s="471"/>
      <c r="BK18" s="471"/>
      <c r="BL18" s="473" t="s">
        <v>66</v>
      </c>
      <c r="BM18" s="473"/>
      <c r="BN18" s="473"/>
      <c r="BO18" s="473"/>
      <c r="BP18" s="473"/>
      <c r="BQ18" s="473"/>
      <c r="BR18" s="473"/>
      <c r="BS18" s="473"/>
      <c r="BT18" s="399" t="s">
        <v>96</v>
      </c>
      <c r="BU18" s="399"/>
      <c r="BV18" s="399"/>
      <c r="BW18" s="399"/>
      <c r="BX18" s="399"/>
      <c r="BY18" s="399"/>
      <c r="BZ18" s="399"/>
      <c r="CA18" s="399"/>
      <c r="CB18" s="399"/>
      <c r="CC18" s="399"/>
      <c r="CD18" s="399"/>
      <c r="CE18" s="399"/>
      <c r="CF18" s="399"/>
      <c r="CG18" s="399"/>
      <c r="CH18" s="399"/>
      <c r="CI18" s="399"/>
      <c r="CJ18" s="399"/>
      <c r="CK18" s="399"/>
      <c r="CL18" s="399"/>
      <c r="CM18" s="457"/>
      <c r="CN18" s="457"/>
      <c r="CO18" s="322" t="s">
        <v>97</v>
      </c>
      <c r="CP18" s="322"/>
      <c r="CQ18" s="322"/>
      <c r="CR18" s="322"/>
      <c r="CS18" s="322"/>
      <c r="CT18" s="322"/>
      <c r="CU18" s="322"/>
      <c r="CV18" s="322"/>
      <c r="CW18" s="322"/>
      <c r="CX18" s="457"/>
      <c r="CY18" s="322"/>
      <c r="CZ18" s="322"/>
      <c r="DA18" s="322"/>
      <c r="DB18" s="4" t="s">
        <v>67</v>
      </c>
      <c r="DC18" s="4"/>
      <c r="DD18" s="4"/>
      <c r="DE18" s="4"/>
      <c r="DF18" s="4"/>
      <c r="DG18" s="4"/>
      <c r="DH18" s="4"/>
      <c r="DI18" s="4"/>
      <c r="DJ18" s="516" t="s">
        <v>130</v>
      </c>
      <c r="DL18" s="456"/>
      <c r="DM18" s="456"/>
      <c r="DN18" s="456"/>
      <c r="DO18" s="456"/>
      <c r="DP18" s="456"/>
      <c r="DQ18" s="456"/>
      <c r="DR18" s="456"/>
      <c r="DS18" s="456"/>
      <c r="DT18" s="456"/>
      <c r="DU18" s="456"/>
      <c r="DV18" s="456"/>
      <c r="DW18" s="456"/>
      <c r="DX18" s="456"/>
      <c r="DY18" s="456"/>
      <c r="DZ18" s="456"/>
      <c r="EA18" s="456"/>
      <c r="EB18" s="456"/>
      <c r="EC18" s="456"/>
      <c r="ED18" s="456"/>
      <c r="EE18" s="456"/>
      <c r="EF18" s="456"/>
      <c r="EG18" s="456"/>
      <c r="EH18" s="456"/>
      <c r="EI18" s="456"/>
      <c r="EJ18" s="456"/>
      <c r="EK18" s="456"/>
      <c r="EL18" s="457"/>
      <c r="EM18" s="457"/>
      <c r="EN18" s="456"/>
      <c r="EO18" s="456"/>
      <c r="EP18" s="456"/>
      <c r="EQ18" s="456"/>
      <c r="ER18" s="456"/>
      <c r="ES18" s="456"/>
      <c r="ET18" s="456"/>
      <c r="EU18" s="456"/>
      <c r="EV18" s="456"/>
      <c r="EW18" s="456"/>
      <c r="EX18" s="456"/>
      <c r="EY18" s="456"/>
      <c r="EZ18" s="456"/>
      <c r="FA18" s="456"/>
      <c r="FB18" s="456"/>
      <c r="FC18" s="456"/>
      <c r="FD18" s="456"/>
      <c r="FE18" s="456"/>
      <c r="FF18" s="456"/>
      <c r="FG18" s="456"/>
      <c r="FH18" s="456"/>
      <c r="FI18" s="456"/>
      <c r="FJ18" s="456"/>
      <c r="FK18" s="456"/>
      <c r="FL18" s="456"/>
      <c r="FM18" s="456"/>
      <c r="FN18" s="456"/>
      <c r="FO18" s="456"/>
      <c r="FP18" s="456"/>
      <c r="FQ18" s="456"/>
      <c r="FR18" s="456"/>
      <c r="FS18" s="456"/>
      <c r="FT18" s="456"/>
      <c r="FU18" s="456"/>
      <c r="FV18" s="456"/>
      <c r="FW18" s="456"/>
      <c r="FX18" s="456"/>
      <c r="FY18" s="456"/>
      <c r="FZ18" s="456"/>
      <c r="GA18" s="456"/>
      <c r="GB18" s="456"/>
      <c r="GC18" s="456"/>
      <c r="GD18" s="456"/>
      <c r="GE18" s="456"/>
      <c r="GF18" s="456"/>
      <c r="GG18" s="456"/>
      <c r="GH18" s="456"/>
      <c r="GI18" s="456"/>
      <c r="GJ18" s="457"/>
      <c r="GK18" s="457"/>
      <c r="GL18" s="456"/>
      <c r="GM18" s="456"/>
      <c r="GN18" s="456"/>
      <c r="GO18" s="456"/>
      <c r="GP18" s="456"/>
      <c r="GQ18" s="456"/>
      <c r="GR18" s="456"/>
      <c r="GS18" s="456"/>
      <c r="GT18" s="456"/>
      <c r="GU18" s="456"/>
      <c r="GV18" s="456"/>
      <c r="GW18" s="456"/>
      <c r="GX18" s="456"/>
      <c r="GY18" s="456"/>
      <c r="GZ18" s="456"/>
      <c r="HA18" s="456"/>
      <c r="HB18" s="456"/>
      <c r="HC18" s="456"/>
      <c r="HD18" s="456"/>
      <c r="HE18" s="456"/>
      <c r="HF18" s="456"/>
      <c r="HG18" s="456"/>
      <c r="HH18" s="456"/>
      <c r="HI18" s="456"/>
      <c r="HJ18" s="456"/>
      <c r="HK18" s="456"/>
      <c r="HL18" s="456"/>
      <c r="HM18" s="456"/>
      <c r="HN18" s="456"/>
      <c r="HO18" s="456"/>
      <c r="HP18" s="456"/>
      <c r="HQ18" s="456"/>
      <c r="HR18" s="456"/>
      <c r="HS18" s="456"/>
      <c r="HT18" s="456"/>
      <c r="HU18" s="456"/>
      <c r="HV18" s="456"/>
      <c r="HW18" s="456"/>
      <c r="HX18" s="456"/>
      <c r="HY18" s="456"/>
      <c r="HZ18" s="456"/>
      <c r="IA18" s="456"/>
      <c r="IB18" s="456"/>
      <c r="IC18" s="456"/>
      <c r="ID18" s="456"/>
      <c r="IE18" s="456"/>
      <c r="IF18" s="456"/>
      <c r="IG18" s="456"/>
      <c r="IH18" s="456"/>
      <c r="II18" s="456"/>
      <c r="IJ18" s="456"/>
      <c r="IK18" s="456"/>
      <c r="IL18" s="456"/>
      <c r="IM18" s="456"/>
      <c r="IN18" s="457"/>
      <c r="IO18" s="457"/>
      <c r="IP18" s="456"/>
      <c r="IQ18" s="456"/>
      <c r="IR18" s="456"/>
      <c r="IS18" s="456"/>
      <c r="IT18" s="456"/>
      <c r="IU18" s="456"/>
      <c r="IV18" s="456"/>
      <c r="IW18" s="456"/>
      <c r="IX18" s="456"/>
      <c r="IY18" s="456"/>
      <c r="IZ18" s="456"/>
      <c r="JA18" s="456"/>
      <c r="JB18" s="456"/>
      <c r="JC18" s="456"/>
      <c r="JD18" s="456"/>
      <c r="JE18" s="456"/>
      <c r="JF18" s="456"/>
      <c r="JG18" s="456"/>
      <c r="JH18" s="456"/>
      <c r="JI18" s="456"/>
      <c r="JJ18" s="456"/>
      <c r="JK18" s="456"/>
      <c r="JL18" s="456"/>
      <c r="JM18" s="456"/>
      <c r="JN18" s="456"/>
      <c r="JO18" s="456"/>
      <c r="JP18" s="456"/>
      <c r="JQ18" s="456"/>
      <c r="JR18" s="456"/>
      <c r="JS18" s="456"/>
      <c r="JT18" s="456"/>
      <c r="JU18" s="456"/>
      <c r="JV18" s="456"/>
      <c r="JW18" s="456"/>
      <c r="JX18" s="456"/>
      <c r="JY18" s="456"/>
      <c r="JZ18" s="456"/>
      <c r="KA18" s="456"/>
      <c r="KB18" s="456"/>
      <c r="KC18" s="456"/>
      <c r="KD18" s="456"/>
      <c r="KE18" s="456"/>
      <c r="KF18" s="456"/>
    </row>
    <row r="19" spans="1:292" ht="70" customHeight="1">
      <c r="A19" s="163" t="s">
        <v>100</v>
      </c>
      <c r="B19" s="319"/>
      <c r="C19" s="319" t="s">
        <v>71</v>
      </c>
      <c r="D19" s="319">
        <v>20</v>
      </c>
      <c r="E19" s="323">
        <v>16</v>
      </c>
      <c r="F19" s="324">
        <v>45568</v>
      </c>
      <c r="G19" s="306" t="s">
        <v>101</v>
      </c>
      <c r="H19" s="313" t="s">
        <v>681</v>
      </c>
      <c r="I19" s="41" t="s">
        <v>680</v>
      </c>
      <c r="J19" s="41" t="s">
        <v>695</v>
      </c>
      <c r="K19" s="238"/>
      <c r="L19" s="41" t="s">
        <v>34</v>
      </c>
      <c r="M19" s="497"/>
      <c r="N19" s="141"/>
      <c r="O19" s="61"/>
      <c r="P19" s="451"/>
      <c r="Q19" s="451"/>
      <c r="R19" s="451"/>
      <c r="S19" s="91"/>
      <c r="T19" s="499">
        <v>46242</v>
      </c>
      <c r="U19" s="508"/>
      <c r="V19" s="517" t="s">
        <v>765</v>
      </c>
      <c r="W19" s="209" t="s">
        <v>729</v>
      </c>
      <c r="X19" s="16"/>
      <c r="Y19" s="456"/>
      <c r="Z19" s="456"/>
      <c r="AA19" s="456"/>
      <c r="AB19" s="456"/>
      <c r="AC19" s="465"/>
      <c r="AD19" s="465"/>
      <c r="AE19" s="465"/>
      <c r="AF19" s="465"/>
      <c r="AG19" s="456"/>
      <c r="AH19" s="456"/>
      <c r="AI19" s="456"/>
      <c r="AJ19" s="457"/>
      <c r="AK19" s="457"/>
      <c r="AL19" s="456"/>
      <c r="AM19" s="465"/>
      <c r="AN19" s="465"/>
      <c r="AO19" s="465"/>
      <c r="AP19" s="456"/>
      <c r="AQ19" s="501" t="s">
        <v>91</v>
      </c>
      <c r="AR19" s="513"/>
      <c r="AS19" s="513"/>
      <c r="AT19" s="513"/>
      <c r="AU19" s="513"/>
      <c r="AV19" s="506" t="s">
        <v>87</v>
      </c>
      <c r="AW19" s="514"/>
      <c r="AX19" s="514"/>
      <c r="AY19" s="514"/>
      <c r="AZ19" s="514"/>
      <c r="BA19" s="514"/>
      <c r="BB19" s="514"/>
      <c r="BC19" s="514"/>
      <c r="BD19" s="507" t="s">
        <v>81</v>
      </c>
      <c r="BE19" s="507"/>
      <c r="BF19" s="507"/>
      <c r="BG19" s="507"/>
      <c r="BH19" s="507"/>
      <c r="BI19" s="507"/>
      <c r="BJ19" s="507"/>
      <c r="BK19" s="507"/>
      <c r="BL19" s="471" t="s">
        <v>77</v>
      </c>
      <c r="BM19" s="471"/>
      <c r="BN19" s="471"/>
      <c r="BO19" s="471"/>
      <c r="BP19" s="471"/>
      <c r="BQ19" s="471"/>
      <c r="BR19" s="471"/>
      <c r="BS19" s="471"/>
      <c r="BT19" s="473" t="s">
        <v>66</v>
      </c>
      <c r="BU19" s="473"/>
      <c r="BV19" s="473"/>
      <c r="BW19" s="473"/>
      <c r="BX19" s="473"/>
      <c r="BY19" s="473"/>
      <c r="BZ19" s="473"/>
      <c r="CA19" s="473"/>
      <c r="CB19" s="398" t="s">
        <v>103</v>
      </c>
      <c r="CC19" s="398"/>
      <c r="CD19" s="398"/>
      <c r="CE19" s="398"/>
      <c r="CF19" s="398"/>
      <c r="CG19" s="398"/>
      <c r="CH19" s="398"/>
      <c r="CI19" s="398"/>
      <c r="CJ19" s="398"/>
      <c r="CK19" s="398"/>
      <c r="CL19" s="398"/>
      <c r="CM19" s="457"/>
      <c r="CN19" s="457"/>
      <c r="CO19" s="322" t="s">
        <v>97</v>
      </c>
      <c r="CP19" s="322"/>
      <c r="CQ19" s="322"/>
      <c r="CR19" s="322"/>
      <c r="CS19" s="322"/>
      <c r="CT19" s="322"/>
      <c r="CU19" s="322"/>
      <c r="CV19" s="322"/>
      <c r="CW19" s="322"/>
      <c r="CX19" s="457"/>
      <c r="CY19" s="322"/>
      <c r="CZ19" s="322"/>
      <c r="DA19" s="322"/>
      <c r="DB19" s="322"/>
      <c r="DC19" s="322"/>
      <c r="DD19" s="322"/>
      <c r="DE19" s="322"/>
      <c r="DF19" s="322"/>
      <c r="DG19" s="322"/>
      <c r="DH19" s="322"/>
      <c r="DI19" s="322"/>
      <c r="DJ19" s="322"/>
      <c r="DK19" s="4" t="s">
        <v>67</v>
      </c>
      <c r="DL19" s="4"/>
      <c r="DM19" s="456"/>
      <c r="DN19" s="456"/>
      <c r="DO19" s="456"/>
      <c r="DP19" s="456"/>
      <c r="DQ19" s="456"/>
      <c r="DR19" s="456"/>
      <c r="DS19" s="456"/>
      <c r="DT19" s="456"/>
      <c r="DU19" s="456"/>
      <c r="DV19" s="456"/>
      <c r="DW19" s="456"/>
      <c r="DX19" s="456"/>
      <c r="DY19" s="456"/>
      <c r="DZ19" s="456"/>
      <c r="EA19" s="456"/>
      <c r="EB19" s="456"/>
      <c r="EC19" s="456"/>
      <c r="ED19" s="456"/>
      <c r="EE19" s="456"/>
      <c r="EF19" s="456"/>
      <c r="EG19" s="456"/>
      <c r="EH19" s="456"/>
      <c r="EI19" s="456"/>
      <c r="EJ19" s="456"/>
      <c r="EK19" s="456"/>
      <c r="EL19" s="457"/>
      <c r="EM19" s="457"/>
      <c r="EN19" s="456"/>
      <c r="EO19" s="456"/>
      <c r="EP19" s="456"/>
      <c r="EQ19" s="456"/>
      <c r="ER19" s="456"/>
      <c r="ES19" s="456"/>
      <c r="ET19" s="456"/>
      <c r="EU19" s="456"/>
      <c r="EV19" s="456"/>
      <c r="EW19" s="456"/>
      <c r="EX19" s="456"/>
      <c r="EY19" s="456"/>
      <c r="EZ19" s="456"/>
      <c r="FA19" s="456"/>
      <c r="FB19" s="456"/>
      <c r="FC19" s="456"/>
      <c r="FD19" s="456"/>
      <c r="FE19" s="456"/>
      <c r="FF19" s="456"/>
      <c r="FG19" s="456"/>
      <c r="FH19" s="456"/>
      <c r="FI19" s="456"/>
      <c r="FJ19" s="456"/>
      <c r="FK19" s="456"/>
      <c r="FL19" s="456"/>
      <c r="FM19" s="456"/>
      <c r="FN19" s="456"/>
      <c r="FO19" s="456"/>
      <c r="FP19" s="456"/>
      <c r="FQ19" s="456"/>
      <c r="FR19" s="456"/>
      <c r="FS19" s="456"/>
      <c r="FT19" s="456"/>
      <c r="FU19" s="456"/>
      <c r="FV19" s="456"/>
      <c r="FW19" s="456"/>
      <c r="FX19" s="456"/>
      <c r="FY19" s="456"/>
      <c r="FZ19" s="456"/>
      <c r="GA19" s="456"/>
      <c r="GB19" s="456"/>
      <c r="GC19" s="456"/>
      <c r="GD19" s="456"/>
      <c r="GE19" s="456"/>
      <c r="GF19" s="456"/>
      <c r="GG19" s="456"/>
      <c r="GH19" s="456"/>
      <c r="GI19" s="456"/>
      <c r="GJ19" s="457"/>
      <c r="GK19" s="457"/>
      <c r="GL19" s="456"/>
      <c r="GM19" s="456"/>
      <c r="GN19" s="456"/>
      <c r="GO19" s="456"/>
      <c r="GP19" s="456"/>
      <c r="GQ19" s="456"/>
      <c r="GR19" s="456"/>
      <c r="GS19" s="456"/>
      <c r="GT19" s="456"/>
      <c r="GU19" s="456"/>
      <c r="GV19" s="456"/>
      <c r="GW19" s="456"/>
      <c r="GX19" s="456"/>
      <c r="GY19" s="456"/>
      <c r="GZ19" s="456"/>
      <c r="HA19" s="456"/>
      <c r="HB19" s="456"/>
      <c r="HC19" s="456"/>
      <c r="HD19" s="456"/>
      <c r="HE19" s="456"/>
      <c r="HF19" s="456"/>
      <c r="HG19" s="456"/>
      <c r="HH19" s="456"/>
      <c r="HI19" s="456"/>
      <c r="HJ19" s="456"/>
      <c r="HK19" s="456"/>
      <c r="HL19" s="456"/>
      <c r="HM19" s="456"/>
      <c r="HN19" s="456"/>
      <c r="HO19" s="456"/>
      <c r="HP19" s="456"/>
      <c r="HQ19" s="456"/>
      <c r="HR19" s="456"/>
      <c r="HS19" s="456"/>
      <c r="HT19" s="456"/>
      <c r="HU19" s="456"/>
      <c r="HV19" s="456"/>
      <c r="HW19" s="456"/>
      <c r="HX19" s="456"/>
      <c r="HY19" s="456"/>
      <c r="HZ19" s="456"/>
      <c r="IA19" s="456"/>
      <c r="IB19" s="456"/>
      <c r="IC19" s="456"/>
      <c r="ID19" s="456"/>
      <c r="IE19" s="456"/>
      <c r="IF19" s="456"/>
      <c r="IG19" s="456"/>
      <c r="IH19" s="456"/>
      <c r="II19" s="456"/>
      <c r="IJ19" s="456"/>
      <c r="IK19" s="456"/>
      <c r="IL19" s="456"/>
      <c r="IM19" s="456"/>
      <c r="IN19" s="457"/>
      <c r="IO19" s="457"/>
      <c r="IP19" s="456"/>
      <c r="IQ19" s="456"/>
      <c r="IR19" s="456"/>
      <c r="IS19" s="456"/>
      <c r="IT19" s="456"/>
      <c r="IU19" s="456"/>
      <c r="IV19" s="456"/>
      <c r="IW19" s="456"/>
      <c r="IX19" s="456"/>
      <c r="IY19" s="456"/>
      <c r="IZ19" s="456"/>
      <c r="JA19" s="456"/>
      <c r="JB19" s="456"/>
      <c r="JC19" s="456"/>
      <c r="JD19" s="456"/>
      <c r="JE19" s="456"/>
      <c r="JF19" s="456"/>
      <c r="JG19" s="456"/>
      <c r="JH19" s="456"/>
      <c r="JI19" s="456"/>
      <c r="JJ19" s="456"/>
      <c r="JK19" s="456"/>
      <c r="JL19" s="456"/>
      <c r="JM19" s="456"/>
      <c r="JN19" s="456"/>
      <c r="JO19" s="456"/>
      <c r="JP19" s="456"/>
      <c r="JQ19" s="456"/>
      <c r="JR19" s="456"/>
      <c r="JS19" s="456"/>
      <c r="JT19" s="456"/>
      <c r="JU19" s="456"/>
      <c r="JV19" s="456"/>
      <c r="JW19" s="456"/>
      <c r="JX19" s="456"/>
      <c r="JY19" s="456"/>
      <c r="JZ19" s="456"/>
      <c r="KA19" s="456"/>
      <c r="KB19" s="456"/>
      <c r="KC19" s="456"/>
      <c r="KD19" s="456"/>
      <c r="KE19" s="456"/>
      <c r="KF19" s="456"/>
    </row>
    <row r="20" spans="1:292" ht="70" customHeight="1">
      <c r="A20" s="168" t="s">
        <v>104</v>
      </c>
      <c r="B20" s="325"/>
      <c r="C20" s="325" t="s">
        <v>71</v>
      </c>
      <c r="D20" s="325">
        <v>8</v>
      </c>
      <c r="E20" s="325">
        <v>0</v>
      </c>
      <c r="F20" s="294">
        <v>45587</v>
      </c>
      <c r="G20" s="306" t="s">
        <v>105</v>
      </c>
      <c r="H20" s="313" t="s">
        <v>499</v>
      </c>
      <c r="I20" s="41" t="s">
        <v>680</v>
      </c>
      <c r="J20" s="41" t="s">
        <v>710</v>
      </c>
      <c r="K20" s="237"/>
      <c r="L20" s="41" t="s">
        <v>34</v>
      </c>
      <c r="M20" s="497"/>
      <c r="N20" s="141"/>
      <c r="O20" s="61"/>
      <c r="P20" s="451"/>
      <c r="Q20" s="451"/>
      <c r="R20" s="451"/>
      <c r="S20" s="91"/>
      <c r="T20" s="499">
        <v>46249</v>
      </c>
      <c r="U20" s="508"/>
      <c r="V20" s="518" t="s">
        <v>764</v>
      </c>
      <c r="W20" s="209" t="s">
        <v>729</v>
      </c>
      <c r="X20" s="16"/>
      <c r="Y20" s="456"/>
      <c r="Z20" s="456"/>
      <c r="AA20" s="456"/>
      <c r="AB20" s="456"/>
      <c r="AC20" s="465"/>
      <c r="AD20" s="465"/>
      <c r="AE20" s="465"/>
      <c r="AF20" s="465"/>
      <c r="AG20" s="456"/>
      <c r="AH20" s="456"/>
      <c r="AI20" s="456"/>
      <c r="AJ20" s="457"/>
      <c r="AK20" s="457"/>
      <c r="AL20" s="456"/>
      <c r="AM20" s="465"/>
      <c r="AN20" s="465"/>
      <c r="AO20" s="465"/>
      <c r="AP20" s="456"/>
      <c r="AQ20" s="465"/>
      <c r="AR20" s="465"/>
      <c r="AS20" s="465"/>
      <c r="AT20" s="465"/>
      <c r="AU20" s="456"/>
      <c r="AV20" s="501" t="s">
        <v>91</v>
      </c>
      <c r="AW20" s="505"/>
      <c r="AX20" s="505"/>
      <c r="AY20" s="505"/>
      <c r="AZ20" s="505"/>
      <c r="BA20" s="505"/>
      <c r="BB20" s="505"/>
      <c r="BC20" s="505"/>
      <c r="BD20" s="505"/>
      <c r="BE20" s="505"/>
      <c r="BF20" s="505"/>
      <c r="BG20" s="505"/>
      <c r="BH20" s="505"/>
      <c r="BI20" s="505"/>
      <c r="BJ20" s="505"/>
      <c r="BK20" s="505"/>
      <c r="BL20" s="505"/>
      <c r="BM20" s="505"/>
      <c r="BN20" s="505"/>
      <c r="BO20" s="505"/>
      <c r="BP20" s="505"/>
      <c r="BQ20" s="505"/>
      <c r="BR20" s="505"/>
      <c r="BS20" s="505"/>
      <c r="BT20" s="505"/>
      <c r="BU20" s="505"/>
      <c r="BV20" s="505"/>
      <c r="BW20" s="505"/>
      <c r="BX20" s="505"/>
      <c r="BY20" s="505"/>
      <c r="BZ20" s="505"/>
      <c r="CA20" s="505"/>
      <c r="CB20" s="505"/>
      <c r="CC20" s="505"/>
      <c r="CD20" s="505"/>
      <c r="CE20" s="505"/>
      <c r="CF20" s="505"/>
      <c r="CG20" s="506" t="s">
        <v>87</v>
      </c>
      <c r="CH20" s="506"/>
      <c r="CI20" s="506"/>
      <c r="CJ20" s="506"/>
      <c r="CK20" s="506"/>
      <c r="CL20" s="506"/>
      <c r="CM20" s="457"/>
      <c r="CN20" s="457"/>
      <c r="CO20" s="506"/>
      <c r="CP20" s="506"/>
      <c r="CQ20" s="507" t="s">
        <v>81</v>
      </c>
      <c r="CR20" s="507"/>
      <c r="CS20" s="507"/>
      <c r="CT20" s="507"/>
      <c r="CU20" s="507"/>
      <c r="CV20" s="507"/>
      <c r="CW20" s="507"/>
      <c r="CX20" s="457"/>
      <c r="CY20" s="507"/>
      <c r="CZ20" s="471" t="s">
        <v>77</v>
      </c>
      <c r="DA20" s="471"/>
      <c r="DB20" s="471"/>
      <c r="DC20" s="471"/>
      <c r="DD20" s="471"/>
      <c r="DE20" s="471"/>
      <c r="DF20" s="471"/>
      <c r="DG20" s="471"/>
      <c r="DH20" s="473" t="s">
        <v>66</v>
      </c>
      <c r="DI20" s="473"/>
      <c r="DJ20" s="473"/>
      <c r="DK20" s="473"/>
      <c r="DL20" s="473"/>
      <c r="DM20" s="4" t="s">
        <v>67</v>
      </c>
      <c r="DN20" s="4"/>
      <c r="DO20" s="456"/>
      <c r="DP20" s="456"/>
      <c r="DQ20" s="456"/>
      <c r="DR20" s="456"/>
      <c r="DS20" s="456"/>
      <c r="DT20" s="456"/>
      <c r="DU20" s="456"/>
      <c r="DV20" s="456"/>
      <c r="DW20" s="456"/>
      <c r="DX20" s="456"/>
      <c r="DY20" s="456"/>
      <c r="DZ20" s="456"/>
      <c r="EA20" s="456"/>
      <c r="EB20" s="456"/>
      <c r="EC20" s="456"/>
      <c r="ED20" s="456"/>
      <c r="EE20" s="456"/>
      <c r="EF20" s="456"/>
      <c r="EG20" s="456"/>
      <c r="EH20" s="456"/>
      <c r="EI20" s="456"/>
      <c r="EJ20" s="456"/>
      <c r="EK20" s="456"/>
      <c r="EL20" s="457"/>
      <c r="EM20" s="457"/>
      <c r="EN20" s="456"/>
      <c r="EO20" s="456"/>
      <c r="EP20" s="456"/>
      <c r="EQ20" s="456"/>
      <c r="ER20" s="456"/>
      <c r="ES20" s="456"/>
      <c r="ET20" s="456"/>
      <c r="EU20" s="456"/>
      <c r="EV20" s="456"/>
      <c r="EW20" s="456"/>
      <c r="EX20" s="456"/>
      <c r="EY20" s="456"/>
      <c r="EZ20" s="456"/>
      <c r="FA20" s="456"/>
      <c r="FB20" s="456"/>
      <c r="FD20" s="456"/>
      <c r="FE20" s="456"/>
      <c r="FF20" s="456"/>
      <c r="FG20" s="456"/>
      <c r="FH20" s="456"/>
      <c r="FI20" s="456"/>
      <c r="FJ20" s="456"/>
      <c r="FK20" s="456"/>
      <c r="FL20" s="456"/>
      <c r="FM20" s="456"/>
      <c r="FN20" s="456"/>
      <c r="FO20" s="456"/>
      <c r="FP20" s="456"/>
      <c r="FQ20" s="456"/>
      <c r="FR20" s="456"/>
      <c r="FS20" s="456"/>
      <c r="FT20" s="456"/>
      <c r="FU20" s="456"/>
      <c r="FV20" s="456"/>
      <c r="FW20" s="456"/>
      <c r="FX20" s="456"/>
      <c r="FY20" s="456"/>
      <c r="FZ20" s="456"/>
      <c r="GA20" s="456"/>
      <c r="GB20" s="456"/>
      <c r="GC20" s="456"/>
      <c r="GD20" s="456"/>
      <c r="GE20" s="456"/>
      <c r="GF20" s="456"/>
      <c r="GG20" s="456"/>
      <c r="GH20" s="456"/>
      <c r="GI20" s="456"/>
      <c r="GJ20" s="457"/>
      <c r="GK20" s="457"/>
      <c r="GL20" s="456"/>
      <c r="GM20" s="456"/>
      <c r="GN20" s="456"/>
      <c r="GO20" s="456"/>
      <c r="GP20" s="456"/>
      <c r="GQ20" s="456"/>
      <c r="GR20" s="456"/>
      <c r="GS20" s="456"/>
      <c r="GT20" s="456"/>
      <c r="GU20" s="456"/>
      <c r="GV20" s="456"/>
      <c r="GW20" s="456"/>
      <c r="GX20" s="456"/>
      <c r="GY20" s="456"/>
      <c r="GZ20" s="456"/>
      <c r="HA20" s="456"/>
      <c r="HB20" s="456"/>
      <c r="HC20" s="456"/>
      <c r="HD20" s="456"/>
      <c r="HE20" s="456"/>
      <c r="HF20" s="456"/>
      <c r="HG20" s="456"/>
      <c r="HH20" s="456"/>
      <c r="HI20" s="456"/>
      <c r="HJ20" s="456"/>
      <c r="HK20" s="456"/>
      <c r="HL20" s="456"/>
      <c r="HM20" s="456"/>
      <c r="HN20" s="456"/>
      <c r="HO20" s="456"/>
      <c r="HP20" s="456"/>
      <c r="HQ20" s="456"/>
      <c r="HR20" s="456"/>
      <c r="HS20" s="456"/>
      <c r="HT20" s="456"/>
      <c r="HU20" s="456"/>
      <c r="HV20" s="456"/>
      <c r="HW20" s="456"/>
      <c r="HX20" s="456"/>
      <c r="HY20" s="456"/>
      <c r="HZ20" s="456"/>
      <c r="IA20" s="456"/>
      <c r="IB20" s="456"/>
      <c r="IC20" s="456"/>
      <c r="ID20" s="456"/>
      <c r="IE20" s="456"/>
      <c r="IF20" s="456"/>
      <c r="IG20" s="456"/>
      <c r="IH20" s="456"/>
      <c r="II20" s="456"/>
      <c r="IJ20" s="456"/>
      <c r="IK20" s="456"/>
      <c r="IL20" s="456"/>
      <c r="IM20" s="456"/>
      <c r="IN20" s="457"/>
      <c r="IO20" s="457"/>
      <c r="IP20" s="456"/>
      <c r="IQ20" s="456"/>
      <c r="IR20" s="456"/>
      <c r="IS20" s="456"/>
      <c r="IT20" s="456"/>
      <c r="IU20" s="456"/>
      <c r="IV20" s="456"/>
      <c r="IW20" s="456"/>
      <c r="IX20" s="456"/>
      <c r="IY20" s="456"/>
      <c r="IZ20" s="456"/>
      <c r="JA20" s="456"/>
      <c r="JB20" s="456"/>
      <c r="JC20" s="456"/>
      <c r="JD20" s="456"/>
      <c r="JE20" s="456"/>
      <c r="JF20" s="456"/>
      <c r="JG20" s="456"/>
      <c r="JH20" s="456"/>
      <c r="JI20" s="456"/>
      <c r="JJ20" s="456"/>
      <c r="JK20" s="456"/>
      <c r="JL20" s="456"/>
      <c r="JM20" s="456"/>
      <c r="JN20" s="456"/>
      <c r="JO20" s="456"/>
      <c r="JP20" s="456"/>
      <c r="JQ20" s="456"/>
      <c r="JR20" s="456"/>
      <c r="JS20" s="456"/>
      <c r="JT20" s="456"/>
      <c r="JU20" s="456"/>
      <c r="JV20" s="456"/>
      <c r="JW20" s="456"/>
      <c r="JX20" s="456"/>
      <c r="JY20" s="456"/>
      <c r="JZ20" s="456"/>
      <c r="KA20" s="456"/>
      <c r="KB20" s="456"/>
      <c r="KC20" s="456"/>
      <c r="KD20" s="456"/>
      <c r="KE20" s="456"/>
      <c r="KF20" s="456"/>
    </row>
    <row r="21" spans="1:292" ht="70" customHeight="1">
      <c r="A21" s="168" t="s">
        <v>106</v>
      </c>
      <c r="B21" s="325"/>
      <c r="C21" s="325" t="s">
        <v>107</v>
      </c>
      <c r="D21" s="325">
        <v>0</v>
      </c>
      <c r="E21" s="325">
        <v>0</v>
      </c>
      <c r="F21" s="294">
        <v>46014</v>
      </c>
      <c r="G21" s="306" t="s">
        <v>108</v>
      </c>
      <c r="H21" s="313" t="s">
        <v>500</v>
      </c>
      <c r="I21" s="104" t="s">
        <v>54</v>
      </c>
      <c r="J21" s="156" t="s">
        <v>115</v>
      </c>
      <c r="K21" s="237"/>
      <c r="L21" s="41" t="s">
        <v>55</v>
      </c>
      <c r="M21" s="497"/>
      <c r="N21" s="141"/>
      <c r="O21" s="61"/>
      <c r="P21" s="451">
        <v>46025</v>
      </c>
      <c r="Q21" s="451">
        <v>46116</v>
      </c>
      <c r="R21" s="451">
        <v>46235</v>
      </c>
      <c r="S21" s="26"/>
      <c r="T21" s="453">
        <v>46312</v>
      </c>
      <c r="U21" s="519"/>
      <c r="V21" s="518" t="s">
        <v>763</v>
      </c>
      <c r="W21" s="209" t="s">
        <v>729</v>
      </c>
      <c r="X21" s="16"/>
      <c r="Y21" s="456"/>
      <c r="Z21" s="456"/>
      <c r="AA21" s="456"/>
      <c r="AB21" s="456"/>
      <c r="AC21" s="465"/>
      <c r="AD21" s="465"/>
      <c r="AE21" s="465"/>
      <c r="AF21" s="465"/>
      <c r="AG21" s="456"/>
      <c r="AH21" s="456"/>
      <c r="AI21" s="456"/>
      <c r="AJ21" s="457"/>
      <c r="AK21" s="457"/>
      <c r="AL21" s="456"/>
      <c r="AM21" s="465"/>
      <c r="AN21" s="465"/>
      <c r="AO21" s="465"/>
      <c r="AP21" s="456"/>
      <c r="AQ21" s="465"/>
      <c r="AR21" s="465"/>
      <c r="AS21" s="465"/>
      <c r="AT21" s="465"/>
      <c r="AU21" s="456"/>
      <c r="AV21" s="465"/>
      <c r="AW21" s="465"/>
      <c r="AX21" s="465"/>
      <c r="AY21" s="465"/>
      <c r="AZ21" s="456"/>
      <c r="BA21" s="456"/>
      <c r="BB21" s="465"/>
      <c r="BC21" s="465"/>
      <c r="BD21" s="456"/>
      <c r="BE21" s="456"/>
      <c r="BF21" s="456"/>
      <c r="BG21" s="456"/>
      <c r="BH21" s="456"/>
      <c r="BI21" s="456"/>
      <c r="BJ21" s="456"/>
      <c r="BK21" s="456"/>
      <c r="BL21" s="456"/>
      <c r="BM21" s="456"/>
      <c r="BN21" s="456"/>
      <c r="BO21" s="456"/>
      <c r="BP21" s="456"/>
      <c r="BQ21" s="456"/>
      <c r="BR21" s="456"/>
      <c r="BS21" s="456"/>
      <c r="BT21" s="456"/>
      <c r="BU21" s="456"/>
      <c r="BV21" s="456"/>
      <c r="BW21" s="456"/>
      <c r="BX21" s="456"/>
      <c r="BY21" s="456"/>
      <c r="BZ21" s="456"/>
      <c r="CA21" s="456"/>
      <c r="CB21" s="456"/>
      <c r="CC21" s="456"/>
      <c r="CD21" s="456"/>
      <c r="CE21" s="456"/>
      <c r="CF21" s="456"/>
      <c r="CG21" s="505" t="s">
        <v>91</v>
      </c>
      <c r="CH21" s="505"/>
      <c r="CI21" s="505"/>
      <c r="CJ21" s="505"/>
      <c r="CK21" s="505"/>
      <c r="CL21" s="505"/>
      <c r="CM21" s="457"/>
      <c r="CN21" s="457"/>
      <c r="CO21" s="505"/>
      <c r="CP21" s="505"/>
      <c r="CQ21" s="505"/>
      <c r="CR21" s="505"/>
      <c r="CS21" s="505"/>
      <c r="CT21" s="506" t="s">
        <v>87</v>
      </c>
      <c r="CU21" s="506"/>
      <c r="CV21" s="506"/>
      <c r="CW21" s="506"/>
      <c r="CX21" s="457"/>
      <c r="CY21" s="506"/>
      <c r="CZ21" s="506"/>
      <c r="DA21" s="506"/>
      <c r="DB21" s="506"/>
      <c r="DC21" s="507" t="s">
        <v>81</v>
      </c>
      <c r="DD21" s="507"/>
      <c r="DE21" s="507"/>
      <c r="DF21" s="507"/>
      <c r="DG21" s="507"/>
      <c r="DH21" s="507"/>
      <c r="DI21" s="507"/>
      <c r="DJ21" s="507"/>
      <c r="DK21" s="471" t="s">
        <v>77</v>
      </c>
      <c r="DL21" s="471"/>
      <c r="DM21" s="471"/>
      <c r="DN21" s="471"/>
      <c r="DO21" s="471"/>
      <c r="DP21" s="473" t="s">
        <v>66</v>
      </c>
      <c r="DQ21" s="473"/>
      <c r="DR21" s="473"/>
      <c r="DS21" s="473"/>
      <c r="DT21" s="473"/>
      <c r="DU21" s="4" t="s">
        <v>67</v>
      </c>
      <c r="DV21" s="4"/>
      <c r="DW21" s="456"/>
      <c r="DX21" s="456"/>
      <c r="DY21" s="456"/>
      <c r="DZ21" s="456"/>
      <c r="EA21" s="456"/>
      <c r="EB21" s="456"/>
      <c r="EC21" s="456"/>
      <c r="ED21" s="456"/>
      <c r="EE21" s="456"/>
      <c r="EF21" s="456"/>
      <c r="EG21" s="456"/>
      <c r="EH21" s="456"/>
      <c r="EI21" s="456"/>
      <c r="EJ21" s="456"/>
      <c r="EK21" s="456"/>
      <c r="EL21" s="457"/>
      <c r="EM21" s="457"/>
      <c r="EN21" s="456"/>
      <c r="EO21" s="456"/>
      <c r="EP21" s="456"/>
      <c r="EQ21" s="456"/>
      <c r="ER21" s="456"/>
      <c r="ES21" s="456"/>
      <c r="ET21" s="456"/>
      <c r="EU21" s="456"/>
      <c r="EV21" s="456"/>
      <c r="EW21" s="456"/>
      <c r="EX21" s="456"/>
      <c r="EY21" s="456"/>
      <c r="EZ21" s="456"/>
      <c r="FA21" s="456"/>
      <c r="FB21" s="456"/>
      <c r="FD21" s="456"/>
      <c r="FE21" s="456"/>
      <c r="FF21" s="456"/>
      <c r="FG21" s="456"/>
      <c r="FH21" s="456"/>
      <c r="FI21" s="456"/>
      <c r="FJ21" s="456"/>
      <c r="FK21" s="456"/>
      <c r="FL21" s="456"/>
      <c r="FM21" s="456"/>
      <c r="FN21" s="456"/>
      <c r="FO21" s="456"/>
      <c r="FP21" s="456"/>
      <c r="FQ21" s="456"/>
      <c r="FR21" s="456"/>
      <c r="FS21" s="456"/>
      <c r="FT21" s="456"/>
      <c r="FU21" s="456"/>
      <c r="FV21" s="456"/>
      <c r="FW21" s="456"/>
      <c r="FX21" s="456"/>
      <c r="FY21" s="456"/>
      <c r="FZ21" s="456"/>
      <c r="GA21" s="456"/>
      <c r="GB21" s="456"/>
      <c r="GC21" s="456"/>
      <c r="GD21" s="456"/>
      <c r="GE21" s="456"/>
      <c r="GF21" s="456"/>
      <c r="GG21" s="456"/>
      <c r="GH21" s="456"/>
      <c r="GI21" s="456"/>
      <c r="GJ21" s="457"/>
      <c r="GK21" s="457"/>
      <c r="GL21" s="456"/>
      <c r="GM21" s="456"/>
      <c r="GN21" s="456"/>
      <c r="GO21" s="456"/>
      <c r="GP21" s="456"/>
      <c r="GQ21" s="456"/>
      <c r="GR21" s="456"/>
      <c r="GS21" s="456"/>
      <c r="GT21" s="456"/>
      <c r="GU21" s="456"/>
      <c r="GV21" s="456"/>
      <c r="GW21" s="456"/>
      <c r="GX21" s="456"/>
      <c r="GY21" s="456"/>
      <c r="GZ21" s="456"/>
      <c r="HA21" s="456"/>
      <c r="HB21" s="456"/>
      <c r="HC21" s="456"/>
      <c r="HD21" s="456"/>
      <c r="HE21" s="456"/>
      <c r="HF21" s="456"/>
      <c r="HG21" s="456"/>
      <c r="HH21" s="456"/>
      <c r="HI21" s="456"/>
      <c r="HJ21" s="456"/>
      <c r="HK21" s="456"/>
      <c r="HL21" s="456"/>
      <c r="HM21" s="456"/>
      <c r="HN21" s="456"/>
      <c r="HO21" s="456"/>
      <c r="HP21" s="456"/>
      <c r="HQ21" s="456"/>
      <c r="HR21" s="456"/>
      <c r="HS21" s="456"/>
      <c r="HT21" s="456"/>
      <c r="HU21" s="456"/>
      <c r="HV21" s="456"/>
      <c r="HW21" s="456"/>
      <c r="HX21" s="456"/>
      <c r="HY21" s="456"/>
      <c r="HZ21" s="456"/>
      <c r="IA21" s="456"/>
      <c r="IB21" s="456"/>
      <c r="IC21" s="456"/>
      <c r="ID21" s="456"/>
      <c r="IE21" s="456"/>
      <c r="IF21" s="456"/>
      <c r="IG21" s="456"/>
      <c r="IH21" s="456"/>
      <c r="II21" s="456"/>
      <c r="IJ21" s="456"/>
      <c r="IK21" s="456"/>
      <c r="IL21" s="456"/>
      <c r="IM21" s="456"/>
      <c r="IN21" s="457"/>
      <c r="IO21" s="457"/>
      <c r="IP21" s="456"/>
      <c r="IQ21" s="456"/>
      <c r="IR21" s="456"/>
      <c r="IS21" s="456"/>
      <c r="IT21" s="456"/>
      <c r="IU21" s="456"/>
      <c r="IV21" s="456"/>
      <c r="IW21" s="456"/>
      <c r="IX21" s="456"/>
      <c r="IY21" s="456"/>
      <c r="IZ21" s="456"/>
      <c r="JA21" s="456"/>
      <c r="JB21" s="456"/>
      <c r="JC21" s="456"/>
      <c r="JD21" s="456"/>
      <c r="JE21" s="456"/>
      <c r="JF21" s="456"/>
      <c r="JG21" s="456"/>
      <c r="JH21" s="456"/>
      <c r="JI21" s="456"/>
      <c r="JJ21" s="456"/>
      <c r="JK21" s="456"/>
      <c r="JL21" s="456"/>
      <c r="JM21" s="456"/>
      <c r="JN21" s="456"/>
      <c r="JO21" s="456"/>
      <c r="JP21" s="456"/>
      <c r="JQ21" s="456"/>
      <c r="JR21" s="456"/>
      <c r="JS21" s="456"/>
      <c r="JT21" s="456"/>
      <c r="JU21" s="456"/>
      <c r="JV21" s="456"/>
      <c r="JW21" s="456"/>
      <c r="JX21" s="456"/>
      <c r="JY21" s="456"/>
      <c r="JZ21" s="456"/>
      <c r="KA21" s="456"/>
      <c r="KB21" s="456"/>
      <c r="KC21" s="456"/>
      <c r="KD21" s="456"/>
      <c r="KE21" s="456"/>
      <c r="KF21" s="456"/>
    </row>
    <row r="22" spans="1:292" ht="70" customHeight="1">
      <c r="A22" s="166" t="s">
        <v>109</v>
      </c>
      <c r="B22" s="319"/>
      <c r="C22" s="311" t="s">
        <v>107</v>
      </c>
      <c r="D22" s="319">
        <v>0</v>
      </c>
      <c r="E22" s="326">
        <v>0</v>
      </c>
      <c r="F22" s="294">
        <v>46014</v>
      </c>
      <c r="G22" s="306" t="s">
        <v>110</v>
      </c>
      <c r="H22" s="313" t="s">
        <v>705</v>
      </c>
      <c r="I22" s="41" t="s">
        <v>706</v>
      </c>
      <c r="J22" s="41" t="s">
        <v>707</v>
      </c>
      <c r="K22" s="237"/>
      <c r="L22" s="41" t="s">
        <v>34</v>
      </c>
      <c r="M22" s="497"/>
      <c r="N22" s="141"/>
      <c r="O22" s="61"/>
      <c r="P22" s="451">
        <v>46116</v>
      </c>
      <c r="Q22" s="451">
        <v>46179</v>
      </c>
      <c r="R22" s="451">
        <f>R21+35</f>
        <v>46270</v>
      </c>
      <c r="S22" s="26"/>
      <c r="T22" s="453">
        <f>T21+35</f>
        <v>46347</v>
      </c>
      <c r="U22" s="519"/>
      <c r="V22" s="257" t="s">
        <v>761</v>
      </c>
      <c r="W22" s="209" t="s">
        <v>729</v>
      </c>
      <c r="X22" s="16"/>
      <c r="Y22" s="456"/>
      <c r="Z22" s="456"/>
      <c r="AA22" s="456"/>
      <c r="AB22" s="456"/>
      <c r="AC22" s="465"/>
      <c r="AD22" s="465"/>
      <c r="AE22" s="465"/>
      <c r="AF22" s="465"/>
      <c r="AG22" s="456"/>
      <c r="AH22" s="456"/>
      <c r="AI22" s="456"/>
      <c r="AJ22" s="457"/>
      <c r="AK22" s="457"/>
      <c r="AL22" s="456"/>
      <c r="AM22" s="465"/>
      <c r="AN22" s="465"/>
      <c r="AO22" s="465"/>
      <c r="AP22" s="456"/>
      <c r="AQ22" s="465"/>
      <c r="AR22" s="465"/>
      <c r="AS22" s="465"/>
      <c r="AT22" s="465"/>
      <c r="AU22" s="456"/>
      <c r="AV22" s="465"/>
      <c r="AW22" s="465"/>
      <c r="AX22" s="465"/>
      <c r="AY22" s="465"/>
      <c r="AZ22" s="456"/>
      <c r="BA22" s="456"/>
      <c r="BB22" s="465"/>
      <c r="BC22" s="465"/>
      <c r="BD22" s="465"/>
      <c r="BE22" s="465"/>
      <c r="BF22" s="456"/>
      <c r="BG22" s="456"/>
      <c r="BH22" s="456"/>
      <c r="BI22" s="456"/>
      <c r="BJ22" s="456"/>
      <c r="BK22" s="456"/>
      <c r="BL22" s="456"/>
      <c r="BM22" s="456"/>
      <c r="BN22" s="456"/>
      <c r="BO22" s="456"/>
      <c r="BP22" s="456"/>
      <c r="BQ22" s="456"/>
      <c r="BR22" s="456"/>
      <c r="BS22" s="456"/>
      <c r="BT22" s="456"/>
      <c r="BU22" s="456"/>
      <c r="BV22" s="456"/>
      <c r="BW22" s="456"/>
      <c r="BX22" s="456"/>
      <c r="BY22" s="456"/>
      <c r="BZ22" s="456"/>
      <c r="CA22" s="456"/>
      <c r="CB22" s="456"/>
      <c r="CC22" s="456"/>
      <c r="CD22" s="456"/>
      <c r="CE22" s="456"/>
      <c r="CF22" s="456"/>
      <c r="CG22" s="456"/>
      <c r="CH22" s="456"/>
      <c r="CI22" s="456"/>
      <c r="CJ22" s="456"/>
      <c r="CK22" s="456"/>
      <c r="CL22" s="16"/>
      <c r="CM22" s="457"/>
      <c r="CN22" s="457"/>
      <c r="CO22" s="456"/>
      <c r="CP22" s="456"/>
      <c r="CQ22" s="456"/>
      <c r="CR22" s="456"/>
      <c r="CS22" s="456"/>
      <c r="CT22" s="505" t="s">
        <v>91</v>
      </c>
      <c r="CU22" s="505"/>
      <c r="CV22" s="505"/>
      <c r="CW22" s="505"/>
      <c r="CX22" s="457"/>
      <c r="CY22" s="505"/>
      <c r="CZ22" s="505"/>
      <c r="DA22" s="505"/>
      <c r="DB22" s="505"/>
      <c r="DC22" s="506" t="s">
        <v>87</v>
      </c>
      <c r="DD22" s="506"/>
      <c r="DE22" s="506"/>
      <c r="DF22" s="506"/>
      <c r="DG22" s="506"/>
      <c r="DH22" s="506"/>
      <c r="DI22" s="506"/>
      <c r="DJ22" s="506"/>
      <c r="DK22" s="507" t="s">
        <v>81</v>
      </c>
      <c r="DL22" s="507"/>
      <c r="DM22" s="507"/>
      <c r="DN22" s="507"/>
      <c r="DO22" s="507"/>
      <c r="DP22" s="471" t="s">
        <v>77</v>
      </c>
      <c r="DQ22" s="471"/>
      <c r="DR22" s="471"/>
      <c r="DS22" s="471"/>
      <c r="DT22" s="471"/>
      <c r="DU22" s="473" t="s">
        <v>66</v>
      </c>
      <c r="DV22" s="473"/>
      <c r="DW22" s="473"/>
      <c r="DX22" s="473"/>
      <c r="DY22" s="473"/>
      <c r="DZ22" s="4" t="s">
        <v>67</v>
      </c>
      <c r="EA22" s="4"/>
      <c r="EB22" s="456"/>
      <c r="EC22" s="456"/>
      <c r="ED22" s="456"/>
      <c r="EE22" s="456"/>
      <c r="EF22" s="456"/>
      <c r="EG22" s="456"/>
      <c r="EH22" s="456"/>
      <c r="EI22" s="456"/>
      <c r="EJ22" s="456"/>
      <c r="EK22" s="456"/>
      <c r="EL22" s="457"/>
      <c r="EM22" s="457"/>
      <c r="EN22" s="456"/>
      <c r="EO22" s="456"/>
      <c r="EP22" s="456"/>
      <c r="EQ22" s="456"/>
      <c r="ER22" s="456"/>
      <c r="ES22" s="456"/>
      <c r="ET22" s="456"/>
      <c r="EU22" s="456"/>
      <c r="EV22" s="456"/>
      <c r="EW22" s="456"/>
      <c r="EX22" s="456"/>
      <c r="EY22" s="456"/>
      <c r="EZ22" s="456"/>
      <c r="FA22" s="456"/>
      <c r="FB22" s="456"/>
      <c r="FD22" s="456"/>
      <c r="FE22" s="456"/>
      <c r="FF22" s="456"/>
      <c r="FG22" s="456"/>
      <c r="FH22" s="456"/>
      <c r="FI22" s="456"/>
      <c r="FJ22" s="456"/>
      <c r="FK22" s="456"/>
      <c r="FL22" s="456"/>
      <c r="FM22" s="456"/>
      <c r="FN22" s="456"/>
      <c r="FO22" s="456"/>
      <c r="FP22" s="456"/>
      <c r="FQ22" s="456"/>
      <c r="FR22" s="456"/>
      <c r="FS22" s="456"/>
      <c r="FT22" s="456"/>
      <c r="FU22" s="456"/>
      <c r="FV22" s="456"/>
      <c r="FW22" s="456"/>
      <c r="FX22" s="456"/>
      <c r="FY22" s="456"/>
      <c r="FZ22" s="456"/>
      <c r="GA22" s="456"/>
      <c r="GB22" s="456"/>
      <c r="GC22" s="456"/>
      <c r="GD22" s="456"/>
      <c r="GE22" s="456"/>
      <c r="GF22" s="456"/>
      <c r="GG22" s="456"/>
      <c r="GH22" s="456"/>
      <c r="GI22" s="456"/>
      <c r="GJ22" s="457"/>
      <c r="GK22" s="457"/>
      <c r="GL22" s="456"/>
      <c r="GM22" s="456"/>
      <c r="GN22" s="456"/>
      <c r="GO22" s="456"/>
      <c r="GP22" s="456"/>
      <c r="GQ22" s="456"/>
      <c r="GR22" s="456"/>
      <c r="GS22" s="456"/>
      <c r="GT22" s="456"/>
      <c r="GU22" s="456"/>
      <c r="GV22" s="456"/>
      <c r="GW22" s="456"/>
      <c r="GX22" s="456"/>
      <c r="GY22" s="456"/>
      <c r="GZ22" s="456"/>
      <c r="HA22" s="456"/>
      <c r="HB22" s="456"/>
      <c r="HC22" s="456"/>
      <c r="HD22" s="456"/>
      <c r="HE22" s="456"/>
      <c r="HF22" s="456"/>
      <c r="HG22" s="456"/>
      <c r="HH22" s="456"/>
      <c r="HI22" s="456"/>
      <c r="HJ22" s="456"/>
      <c r="HK22" s="456"/>
      <c r="HL22" s="456"/>
      <c r="HM22" s="456"/>
      <c r="HN22" s="456"/>
      <c r="HO22" s="456"/>
      <c r="HP22" s="456"/>
      <c r="HQ22" s="456"/>
      <c r="HR22" s="456"/>
      <c r="HS22" s="456"/>
      <c r="HT22" s="456"/>
      <c r="HU22" s="456"/>
      <c r="HV22" s="456"/>
      <c r="HW22" s="456"/>
      <c r="HX22" s="456"/>
      <c r="HY22" s="456"/>
      <c r="HZ22" s="456"/>
      <c r="IA22" s="456"/>
      <c r="IB22" s="456"/>
      <c r="IC22" s="456"/>
      <c r="ID22" s="456"/>
      <c r="IE22" s="456"/>
      <c r="IF22" s="456"/>
      <c r="IG22" s="456"/>
      <c r="IH22" s="456"/>
      <c r="II22" s="456"/>
      <c r="IJ22" s="456"/>
      <c r="IK22" s="456"/>
      <c r="IL22" s="456"/>
      <c r="IM22" s="456"/>
      <c r="IN22" s="457"/>
      <c r="IO22" s="457"/>
      <c r="IP22" s="456"/>
      <c r="IQ22" s="456"/>
      <c r="IR22" s="456"/>
      <c r="IS22" s="456"/>
      <c r="IT22" s="456"/>
      <c r="IU22" s="456"/>
      <c r="IV22" s="456"/>
      <c r="IW22" s="456"/>
      <c r="IX22" s="456"/>
      <c r="IY22" s="456"/>
      <c r="IZ22" s="456"/>
      <c r="JA22" s="456"/>
      <c r="JB22" s="456"/>
      <c r="JC22" s="456"/>
      <c r="JD22" s="456"/>
      <c r="JE22" s="456"/>
      <c r="JF22" s="456"/>
      <c r="JG22" s="456"/>
      <c r="JH22" s="456"/>
      <c r="JI22" s="456"/>
      <c r="JJ22" s="456"/>
      <c r="JK22" s="456"/>
      <c r="JL22" s="456"/>
      <c r="JM22" s="456"/>
      <c r="JN22" s="456"/>
      <c r="JO22" s="456"/>
      <c r="JP22" s="456"/>
      <c r="JQ22" s="456"/>
      <c r="JR22" s="456"/>
      <c r="JS22" s="456"/>
      <c r="JT22" s="456"/>
      <c r="JU22" s="456"/>
      <c r="JV22" s="456"/>
      <c r="JW22" s="456"/>
      <c r="JX22" s="456"/>
      <c r="JY22" s="456"/>
      <c r="JZ22" s="456"/>
      <c r="KA22" s="456"/>
      <c r="KB22" s="456"/>
      <c r="KC22" s="456"/>
      <c r="KD22" s="456"/>
      <c r="KE22" s="456"/>
      <c r="KF22" s="456"/>
    </row>
    <row r="23" spans="1:292" ht="70" customHeight="1">
      <c r="A23" s="168" t="s">
        <v>111</v>
      </c>
      <c r="B23" s="325"/>
      <c r="C23" s="311" t="s">
        <v>107</v>
      </c>
      <c r="D23" s="325">
        <v>0</v>
      </c>
      <c r="E23" s="310">
        <v>0</v>
      </c>
      <c r="F23" s="294">
        <v>46014</v>
      </c>
      <c r="G23" s="327" t="s">
        <v>691</v>
      </c>
      <c r="H23" s="313" t="s">
        <v>753</v>
      </c>
      <c r="I23" s="41" t="s">
        <v>680</v>
      </c>
      <c r="J23" s="41" t="s">
        <v>697</v>
      </c>
      <c r="K23" s="237"/>
      <c r="L23" s="321" t="s">
        <v>73</v>
      </c>
      <c r="M23" s="497"/>
      <c r="N23" s="141"/>
      <c r="O23" s="61"/>
      <c r="P23" s="451">
        <v>46179</v>
      </c>
      <c r="Q23" s="451">
        <f t="shared" ref="Q23" si="2">Q22+56</f>
        <v>46235</v>
      </c>
      <c r="R23" s="451">
        <f t="shared" ref="R23:R24" si="3">R22+35</f>
        <v>46305</v>
      </c>
      <c r="S23" s="26"/>
      <c r="T23" s="453">
        <f>T22+28</f>
        <v>46375</v>
      </c>
      <c r="U23" s="519"/>
      <c r="V23" s="257" t="s">
        <v>762</v>
      </c>
      <c r="W23" s="209" t="s">
        <v>729</v>
      </c>
      <c r="X23" s="16"/>
      <c r="Y23" s="456"/>
      <c r="Z23" s="456"/>
      <c r="AA23" s="456"/>
      <c r="AB23" s="456"/>
      <c r="AC23" s="465"/>
      <c r="AD23" s="465"/>
      <c r="AE23" s="465"/>
      <c r="AF23" s="465"/>
      <c r="AG23" s="456"/>
      <c r="AH23" s="456"/>
      <c r="AI23" s="456"/>
      <c r="AJ23" s="457"/>
      <c r="AK23" s="457"/>
      <c r="AL23" s="456"/>
      <c r="AM23" s="465"/>
      <c r="AN23" s="465"/>
      <c r="AO23" s="465"/>
      <c r="AP23" s="456"/>
      <c r="AQ23" s="465"/>
      <c r="AR23" s="465"/>
      <c r="AS23" s="465"/>
      <c r="AT23" s="465"/>
      <c r="AU23" s="456"/>
      <c r="AV23" s="465"/>
      <c r="AW23" s="465"/>
      <c r="AX23" s="465"/>
      <c r="AY23" s="465"/>
      <c r="AZ23" s="456"/>
      <c r="BA23" s="456"/>
      <c r="BB23" s="465"/>
      <c r="BC23" s="465"/>
      <c r="BD23" s="465"/>
      <c r="BE23" s="465"/>
      <c r="BF23" s="456"/>
      <c r="BG23" s="456"/>
      <c r="BH23" s="456"/>
      <c r="BI23" s="456"/>
      <c r="BJ23" s="456"/>
      <c r="BK23" s="456"/>
      <c r="BL23" s="456"/>
      <c r="BM23" s="456"/>
      <c r="BN23" s="456"/>
      <c r="BO23" s="456"/>
      <c r="BP23" s="456"/>
      <c r="BQ23" s="456"/>
      <c r="BR23" s="456"/>
      <c r="BS23" s="456"/>
      <c r="BT23" s="456"/>
      <c r="BU23" s="456"/>
      <c r="BV23" s="456"/>
      <c r="BW23" s="456"/>
      <c r="BX23" s="456"/>
      <c r="BY23" s="456"/>
      <c r="BZ23" s="456"/>
      <c r="CA23" s="456"/>
      <c r="CB23" s="456"/>
      <c r="CC23" s="456"/>
      <c r="CD23" s="456"/>
      <c r="CE23" s="456"/>
      <c r="CF23" s="456"/>
      <c r="CG23" s="456"/>
      <c r="CH23" s="456"/>
      <c r="CI23" s="456"/>
      <c r="CJ23" s="456"/>
      <c r="CK23" s="456"/>
      <c r="CL23" s="456"/>
      <c r="CM23" s="457"/>
      <c r="CN23" s="457"/>
      <c r="CO23" s="456"/>
      <c r="CP23" s="456"/>
      <c r="CQ23" s="456"/>
      <c r="CR23" s="456"/>
      <c r="CS23" s="456"/>
      <c r="CT23" s="456"/>
      <c r="CU23" s="456"/>
      <c r="CV23" s="456"/>
      <c r="CW23" s="16"/>
      <c r="CX23" s="457"/>
      <c r="CY23" s="16"/>
      <c r="CZ23" s="456"/>
      <c r="DA23" s="456"/>
      <c r="DB23" s="456"/>
      <c r="DC23" s="505" t="s">
        <v>91</v>
      </c>
      <c r="DD23" s="505"/>
      <c r="DE23" s="505"/>
      <c r="DF23" s="505"/>
      <c r="DG23" s="505"/>
      <c r="DH23" s="505"/>
      <c r="DI23" s="505"/>
      <c r="DJ23" s="328" t="s">
        <v>699</v>
      </c>
      <c r="DK23" s="506" t="s">
        <v>87</v>
      </c>
      <c r="DL23" s="506"/>
      <c r="DM23" s="506"/>
      <c r="DN23" s="506"/>
      <c r="DO23" s="506"/>
      <c r="DP23" s="507" t="s">
        <v>81</v>
      </c>
      <c r="DQ23" s="507"/>
      <c r="DR23" s="507"/>
      <c r="DS23" s="507"/>
      <c r="DT23" s="507"/>
      <c r="DU23" s="471" t="s">
        <v>77</v>
      </c>
      <c r="DV23" s="471"/>
      <c r="DW23" s="471"/>
      <c r="DX23" s="471"/>
      <c r="DY23" s="471"/>
      <c r="DZ23" s="473" t="s">
        <v>66</v>
      </c>
      <c r="EA23" s="473"/>
      <c r="EB23" s="473"/>
      <c r="EC23" s="473"/>
      <c r="ED23" s="4" t="s">
        <v>67</v>
      </c>
      <c r="EE23" s="4"/>
      <c r="EF23" s="516" t="s">
        <v>130</v>
      </c>
      <c r="EG23" s="456"/>
      <c r="EH23" s="456"/>
      <c r="EI23" s="456"/>
      <c r="EJ23" s="456"/>
      <c r="EK23" s="456"/>
      <c r="EL23" s="457"/>
      <c r="EM23" s="457"/>
      <c r="EN23" s="456"/>
      <c r="EO23" s="456"/>
      <c r="EP23" s="456"/>
      <c r="EQ23" s="456"/>
      <c r="ER23" s="456"/>
      <c r="ES23" s="456"/>
      <c r="ET23" s="456"/>
      <c r="EU23" s="456"/>
      <c r="EV23" s="456"/>
      <c r="EW23" s="456"/>
      <c r="EX23" s="456"/>
      <c r="EY23" s="456"/>
      <c r="EZ23" s="456"/>
      <c r="FA23" s="456"/>
      <c r="FB23" s="456"/>
      <c r="FD23" s="456"/>
      <c r="FE23" s="456"/>
      <c r="FF23" s="456"/>
      <c r="FG23" s="456"/>
      <c r="FH23" s="456"/>
      <c r="FI23" s="456"/>
      <c r="FJ23" s="456"/>
      <c r="FK23" s="456"/>
      <c r="FL23" s="456"/>
      <c r="FM23" s="456"/>
      <c r="FN23" s="456"/>
      <c r="FO23" s="456"/>
      <c r="FP23" s="456"/>
      <c r="FQ23" s="456"/>
      <c r="FR23" s="456"/>
      <c r="FS23" s="456"/>
      <c r="FT23" s="456"/>
      <c r="FU23" s="456"/>
      <c r="FV23" s="456"/>
      <c r="FW23" s="456"/>
      <c r="FX23" s="456"/>
      <c r="FY23" s="456"/>
      <c r="FZ23" s="456"/>
      <c r="GA23" s="456"/>
      <c r="GB23" s="456"/>
      <c r="GC23" s="456"/>
      <c r="GD23" s="456"/>
      <c r="GE23" s="456"/>
      <c r="GF23" s="456"/>
      <c r="GG23" s="456"/>
      <c r="GH23" s="456"/>
      <c r="GI23" s="456"/>
      <c r="GJ23" s="457"/>
      <c r="GK23" s="457"/>
      <c r="GL23" s="456"/>
      <c r="GM23" s="456"/>
      <c r="GN23" s="456"/>
      <c r="GO23" s="456"/>
      <c r="GP23" s="456"/>
      <c r="GQ23" s="456"/>
      <c r="GR23" s="456"/>
      <c r="GS23" s="456"/>
      <c r="GT23" s="456"/>
      <c r="GU23" s="456"/>
      <c r="GV23" s="456"/>
      <c r="GW23" s="456"/>
      <c r="GX23" s="456"/>
      <c r="GY23" s="456"/>
      <c r="GZ23" s="456"/>
      <c r="HA23" s="456"/>
      <c r="HB23" s="456"/>
      <c r="HC23" s="456"/>
      <c r="HD23" s="456"/>
      <c r="HE23" s="456"/>
      <c r="HF23" s="456"/>
      <c r="HG23" s="456"/>
      <c r="HH23" s="456"/>
      <c r="HI23" s="456"/>
      <c r="HJ23" s="456"/>
      <c r="HK23" s="456"/>
      <c r="HL23" s="456"/>
      <c r="HM23" s="456"/>
      <c r="HN23" s="456"/>
      <c r="HO23" s="456"/>
      <c r="HP23" s="456"/>
      <c r="HQ23" s="456"/>
      <c r="HR23" s="456"/>
      <c r="HS23" s="456"/>
      <c r="HT23" s="456"/>
      <c r="HU23" s="456"/>
      <c r="HV23" s="456"/>
      <c r="HW23" s="456"/>
      <c r="HX23" s="456"/>
      <c r="HY23" s="456"/>
      <c r="HZ23" s="456"/>
      <c r="IA23" s="456"/>
      <c r="IB23" s="456"/>
      <c r="IC23" s="456"/>
      <c r="ID23" s="456"/>
      <c r="IE23" s="456"/>
      <c r="IF23" s="456"/>
      <c r="IG23" s="456"/>
      <c r="IH23" s="456"/>
      <c r="II23" s="456"/>
      <c r="IJ23" s="456"/>
      <c r="IK23" s="456"/>
      <c r="IL23" s="456"/>
      <c r="IM23" s="456"/>
      <c r="IN23" s="457"/>
      <c r="IO23" s="457"/>
      <c r="IP23" s="456"/>
      <c r="IQ23" s="456"/>
      <c r="IR23" s="456"/>
      <c r="IS23" s="456"/>
      <c r="IT23" s="456"/>
      <c r="IU23" s="456"/>
      <c r="IV23" s="456"/>
      <c r="IW23" s="456"/>
      <c r="IX23" s="456"/>
      <c r="IY23" s="456"/>
      <c r="IZ23" s="456"/>
      <c r="JA23" s="456"/>
      <c r="JB23" s="456"/>
      <c r="JC23" s="456"/>
      <c r="JD23" s="456"/>
      <c r="JE23" s="456"/>
      <c r="JF23" s="456"/>
      <c r="JG23" s="456"/>
      <c r="JH23" s="456"/>
      <c r="JI23" s="456"/>
      <c r="JJ23" s="456"/>
      <c r="JK23" s="456"/>
      <c r="JL23" s="456"/>
      <c r="JM23" s="456"/>
      <c r="JN23" s="456"/>
      <c r="JO23" s="456"/>
      <c r="JP23" s="456"/>
      <c r="JQ23" s="456"/>
      <c r="JR23" s="456"/>
      <c r="JS23" s="456"/>
      <c r="JT23" s="456"/>
      <c r="JU23" s="456"/>
      <c r="JV23" s="456"/>
      <c r="JW23" s="456"/>
      <c r="JX23" s="456"/>
      <c r="JY23" s="456"/>
      <c r="JZ23" s="456"/>
      <c r="KA23" s="456"/>
      <c r="KB23" s="456"/>
      <c r="KC23" s="456"/>
      <c r="KD23" s="456"/>
      <c r="KE23" s="456"/>
      <c r="KF23" s="456"/>
    </row>
    <row r="24" spans="1:292" ht="70" customHeight="1">
      <c r="A24" s="163" t="s">
        <v>112</v>
      </c>
      <c r="B24" s="300"/>
      <c r="C24" s="319" t="s">
        <v>107</v>
      </c>
      <c r="D24" s="300">
        <v>0</v>
      </c>
      <c r="E24" s="323">
        <v>0</v>
      </c>
      <c r="F24" s="294">
        <v>46170</v>
      </c>
      <c r="G24" s="306" t="s">
        <v>114</v>
      </c>
      <c r="H24" s="329" t="s">
        <v>102</v>
      </c>
      <c r="I24" s="104" t="s">
        <v>54</v>
      </c>
      <c r="J24" s="156" t="s">
        <v>115</v>
      </c>
      <c r="K24" s="238"/>
      <c r="L24" s="44" t="s">
        <v>55</v>
      </c>
      <c r="M24" s="520"/>
      <c r="N24" s="174"/>
      <c r="O24" s="175"/>
      <c r="P24" s="461">
        <v>46235</v>
      </c>
      <c r="Q24" s="461">
        <f>Q23+35</f>
        <v>46270</v>
      </c>
      <c r="R24" s="451">
        <f t="shared" si="3"/>
        <v>46340</v>
      </c>
      <c r="S24" s="50"/>
      <c r="T24" s="453">
        <f t="shared" ref="T24:T36" si="4">T23+28</f>
        <v>46403</v>
      </c>
      <c r="U24" s="521"/>
      <c r="V24" s="517"/>
      <c r="W24" s="209" t="s">
        <v>728</v>
      </c>
      <c r="X24" s="18"/>
      <c r="Y24" s="458"/>
      <c r="Z24" s="458"/>
      <c r="AA24" s="458"/>
      <c r="AB24" s="458"/>
      <c r="AC24" s="512"/>
      <c r="AD24" s="512"/>
      <c r="AE24" s="512"/>
      <c r="AF24" s="512"/>
      <c r="AG24" s="458"/>
      <c r="AH24" s="458"/>
      <c r="AI24" s="458"/>
      <c r="AJ24" s="470"/>
      <c r="AK24" s="470"/>
      <c r="AL24" s="458"/>
      <c r="AM24" s="512"/>
      <c r="AN24" s="512"/>
      <c r="AO24" s="512"/>
      <c r="AP24" s="458"/>
      <c r="AQ24" s="512"/>
      <c r="AR24" s="512"/>
      <c r="AS24" s="512"/>
      <c r="AT24" s="512"/>
      <c r="AU24" s="458"/>
      <c r="AV24" s="512"/>
      <c r="AW24" s="512"/>
      <c r="AX24" s="512"/>
      <c r="AY24" s="512"/>
      <c r="AZ24" s="458"/>
      <c r="BA24" s="458"/>
      <c r="BB24" s="512"/>
      <c r="BC24" s="512"/>
      <c r="BD24" s="465"/>
      <c r="BE24" s="465"/>
      <c r="BF24" s="456"/>
      <c r="BG24" s="456"/>
      <c r="BH24" s="456"/>
      <c r="BI24" s="456"/>
      <c r="BJ24" s="456"/>
      <c r="BK24" s="456"/>
      <c r="BL24" s="456"/>
      <c r="BM24" s="456"/>
      <c r="BN24" s="16"/>
      <c r="BO24" s="16"/>
      <c r="BP24" s="456"/>
      <c r="BQ24" s="456"/>
      <c r="BR24" s="456"/>
      <c r="BS24" s="456"/>
      <c r="BT24" s="456"/>
      <c r="BU24" s="456"/>
      <c r="BV24" s="456"/>
      <c r="BW24" s="456"/>
      <c r="BX24" s="456"/>
      <c r="BY24" s="456"/>
      <c r="BZ24" s="456"/>
      <c r="CA24" s="456"/>
      <c r="CB24" s="456"/>
      <c r="CC24" s="456"/>
      <c r="CD24" s="456"/>
      <c r="CE24" s="456"/>
      <c r="CF24" s="456"/>
      <c r="CG24" s="456"/>
      <c r="CH24" s="456"/>
      <c r="CI24" s="456"/>
      <c r="CJ24" s="456"/>
      <c r="CK24" s="456"/>
      <c r="CL24" s="456"/>
      <c r="CM24" s="457"/>
      <c r="CN24" s="457"/>
      <c r="CO24" s="456"/>
      <c r="CP24" s="456"/>
      <c r="CQ24" s="456"/>
      <c r="CR24" s="456"/>
      <c r="CS24" s="456"/>
      <c r="CT24" s="456"/>
      <c r="CU24" s="456"/>
      <c r="CV24" s="456"/>
      <c r="CW24" s="456"/>
      <c r="CX24" s="457"/>
      <c r="CY24" s="456"/>
      <c r="CZ24" s="456"/>
      <c r="DA24" s="456"/>
      <c r="DB24" s="456"/>
      <c r="DC24" s="456"/>
      <c r="DD24" s="16"/>
      <c r="DE24" s="16"/>
      <c r="DF24" s="456"/>
      <c r="DG24" s="456"/>
      <c r="DH24" s="456"/>
      <c r="DI24" s="456"/>
      <c r="DJ24" s="505" t="s">
        <v>91</v>
      </c>
      <c r="DK24" s="505"/>
      <c r="DL24" s="505"/>
      <c r="DM24" s="505"/>
      <c r="DN24" s="328" t="s">
        <v>699</v>
      </c>
      <c r="DO24" s="328" t="s">
        <v>699</v>
      </c>
      <c r="DP24" s="506" t="s">
        <v>87</v>
      </c>
      <c r="DQ24" s="506"/>
      <c r="DR24" s="506"/>
      <c r="DS24" s="506"/>
      <c r="DT24" s="506"/>
      <c r="DU24" s="507" t="s">
        <v>81</v>
      </c>
      <c r="DV24" s="507"/>
      <c r="DW24" s="507"/>
      <c r="DX24" s="507"/>
      <c r="DY24" s="507"/>
      <c r="DZ24" s="471" t="s">
        <v>77</v>
      </c>
      <c r="EA24" s="471"/>
      <c r="EB24" s="471"/>
      <c r="EC24" s="471"/>
      <c r="ED24" s="473" t="s">
        <v>66</v>
      </c>
      <c r="EE24" s="473"/>
      <c r="EF24" s="473"/>
      <c r="EG24" s="473"/>
      <c r="EH24" s="4" t="s">
        <v>67</v>
      </c>
      <c r="EI24" s="4"/>
      <c r="EJ24" s="456"/>
      <c r="EK24" s="456"/>
      <c r="EL24" s="457"/>
      <c r="EM24" s="457"/>
      <c r="EN24" s="456"/>
      <c r="EO24" s="456"/>
      <c r="EP24" s="456"/>
      <c r="EQ24" s="456"/>
      <c r="ER24" s="456"/>
      <c r="ES24" s="456"/>
      <c r="ET24" s="456"/>
      <c r="EU24" s="456"/>
      <c r="EV24" s="456"/>
      <c r="EW24" s="456"/>
      <c r="EX24" s="456"/>
      <c r="EY24" s="456"/>
      <c r="EZ24" s="456"/>
      <c r="FA24" s="456"/>
      <c r="FB24" s="456"/>
      <c r="FD24" s="456"/>
      <c r="FE24" s="456"/>
      <c r="FF24" s="456"/>
      <c r="FG24" s="456"/>
      <c r="FH24" s="456"/>
      <c r="FI24" s="456"/>
      <c r="FJ24" s="456"/>
      <c r="FK24" s="456"/>
      <c r="FL24" s="456"/>
      <c r="FM24" s="456"/>
      <c r="FN24" s="456"/>
      <c r="FO24" s="456"/>
      <c r="FP24" s="456"/>
      <c r="FQ24" s="456"/>
      <c r="FR24" s="456"/>
      <c r="FS24" s="456"/>
      <c r="FT24" s="456"/>
      <c r="FU24" s="456"/>
      <c r="FV24" s="456"/>
      <c r="FW24" s="456"/>
      <c r="FX24" s="456"/>
      <c r="FY24" s="456"/>
      <c r="FZ24" s="456"/>
      <c r="GA24" s="456"/>
      <c r="GB24" s="456"/>
      <c r="GC24" s="456"/>
      <c r="GD24" s="456"/>
      <c r="GE24" s="456"/>
      <c r="GF24" s="456"/>
      <c r="GG24" s="456"/>
      <c r="GH24" s="456"/>
      <c r="GI24" s="456"/>
      <c r="GJ24" s="457"/>
      <c r="GK24" s="457"/>
      <c r="GL24" s="456"/>
      <c r="GM24" s="456"/>
      <c r="GN24" s="456"/>
      <c r="GO24" s="456"/>
      <c r="GP24" s="456"/>
      <c r="GQ24" s="456"/>
      <c r="GR24" s="456"/>
      <c r="GS24" s="456"/>
      <c r="GT24" s="456"/>
      <c r="GU24" s="456"/>
      <c r="GV24" s="456"/>
      <c r="GW24" s="456"/>
      <c r="GX24" s="456"/>
      <c r="GY24" s="456"/>
      <c r="GZ24" s="456"/>
      <c r="HA24" s="456"/>
      <c r="HB24" s="456"/>
      <c r="HC24" s="456"/>
      <c r="HD24" s="456"/>
      <c r="HE24" s="456"/>
      <c r="HF24" s="456"/>
      <c r="HG24" s="456"/>
      <c r="HH24" s="456"/>
      <c r="HI24" s="456"/>
      <c r="HJ24" s="456"/>
      <c r="HK24" s="456"/>
      <c r="HL24" s="456"/>
      <c r="HM24" s="456"/>
      <c r="HN24" s="456"/>
      <c r="HO24" s="456"/>
      <c r="HP24" s="456"/>
      <c r="HQ24" s="456"/>
      <c r="HR24" s="456"/>
      <c r="HS24" s="456"/>
      <c r="HT24" s="456"/>
      <c r="HU24" s="456"/>
      <c r="HV24" s="456"/>
      <c r="HW24" s="456"/>
      <c r="HX24" s="456"/>
      <c r="HY24" s="456"/>
      <c r="HZ24" s="456"/>
      <c r="IA24" s="456"/>
      <c r="IB24" s="456"/>
      <c r="IC24" s="456"/>
      <c r="ID24" s="456"/>
      <c r="IE24" s="456"/>
      <c r="IF24" s="456"/>
      <c r="IG24" s="456"/>
      <c r="IH24" s="456"/>
      <c r="II24" s="456"/>
      <c r="IJ24" s="456"/>
      <c r="IK24" s="456"/>
      <c r="IL24" s="456"/>
      <c r="IM24" s="456"/>
      <c r="IN24" s="457"/>
      <c r="IO24" s="457"/>
      <c r="IP24" s="456"/>
      <c r="IQ24" s="456"/>
      <c r="IR24" s="456"/>
      <c r="IS24" s="456"/>
      <c r="IT24" s="456"/>
      <c r="IU24" s="456"/>
      <c r="IV24" s="456"/>
      <c r="IW24" s="456"/>
      <c r="IX24" s="456"/>
      <c r="IY24" s="456"/>
      <c r="IZ24" s="456"/>
      <c r="JA24" s="456"/>
      <c r="JB24" s="456"/>
      <c r="JC24" s="456"/>
      <c r="JD24" s="456"/>
      <c r="JE24" s="456"/>
      <c r="JF24" s="456"/>
      <c r="JG24" s="456"/>
      <c r="JH24" s="456"/>
      <c r="JI24" s="456"/>
      <c r="JJ24" s="456"/>
      <c r="JK24" s="456"/>
      <c r="JL24" s="456"/>
      <c r="JM24" s="456"/>
      <c r="JN24" s="456"/>
      <c r="JO24" s="456"/>
      <c r="JP24" s="456"/>
      <c r="JQ24" s="456"/>
      <c r="JR24" s="456"/>
      <c r="JS24" s="456"/>
      <c r="JT24" s="456"/>
      <c r="JU24" s="456"/>
      <c r="JV24" s="456"/>
      <c r="JW24" s="456"/>
      <c r="JX24" s="456"/>
      <c r="JY24" s="456"/>
      <c r="JZ24" s="456"/>
      <c r="KA24" s="456"/>
      <c r="KB24" s="456"/>
      <c r="KC24" s="456"/>
      <c r="KD24" s="456"/>
      <c r="KE24" s="456"/>
      <c r="KF24" s="456"/>
    </row>
    <row r="25" spans="1:292" ht="70" customHeight="1">
      <c r="A25" s="168" t="s">
        <v>116</v>
      </c>
      <c r="B25" s="325"/>
      <c r="C25" s="325" t="s">
        <v>107</v>
      </c>
      <c r="D25" s="325">
        <v>0</v>
      </c>
      <c r="E25" s="325">
        <v>0</v>
      </c>
      <c r="F25" s="294">
        <v>46170</v>
      </c>
      <c r="G25" s="330" t="s">
        <v>117</v>
      </c>
      <c r="H25" s="313" t="s">
        <v>102</v>
      </c>
      <c r="I25" s="41" t="s">
        <v>712</v>
      </c>
      <c r="J25" s="150" t="s">
        <v>713</v>
      </c>
      <c r="K25" s="237"/>
      <c r="L25" s="41" t="s">
        <v>34</v>
      </c>
      <c r="M25" s="497"/>
      <c r="N25" s="143"/>
      <c r="O25" s="176"/>
      <c r="P25" s="451">
        <f>P24+35</f>
        <v>46270</v>
      </c>
      <c r="Q25" s="461">
        <f t="shared" ref="Q25:Q26" si="5">Q24+35</f>
        <v>46305</v>
      </c>
      <c r="R25" s="451">
        <f>R24+28</f>
        <v>46368</v>
      </c>
      <c r="S25" s="26"/>
      <c r="T25" s="453">
        <v>46446</v>
      </c>
      <c r="U25" s="519"/>
      <c r="V25" s="518" t="s">
        <v>757</v>
      </c>
      <c r="W25" s="209" t="s">
        <v>728</v>
      </c>
      <c r="X25" s="16"/>
      <c r="Y25" s="456"/>
      <c r="Z25" s="456"/>
      <c r="AA25" s="456"/>
      <c r="AB25" s="456"/>
      <c r="AC25" s="465"/>
      <c r="AD25" s="465"/>
      <c r="AE25" s="465"/>
      <c r="AF25" s="465"/>
      <c r="AG25" s="456"/>
      <c r="AH25" s="456"/>
      <c r="AI25" s="456"/>
      <c r="AJ25" s="457"/>
      <c r="AK25" s="457"/>
      <c r="AL25" s="456"/>
      <c r="AM25" s="465"/>
      <c r="AN25" s="465"/>
      <c r="AO25" s="465"/>
      <c r="AP25" s="456"/>
      <c r="AQ25" s="465"/>
      <c r="AR25" s="465"/>
      <c r="AS25" s="465"/>
      <c r="AT25" s="465"/>
      <c r="AU25" s="456"/>
      <c r="AV25" s="465"/>
      <c r="AW25" s="465"/>
      <c r="AX25" s="465"/>
      <c r="AY25" s="465"/>
      <c r="AZ25" s="456"/>
      <c r="BA25" s="456"/>
      <c r="BB25" s="465"/>
      <c r="BC25" s="465"/>
      <c r="BD25" s="465"/>
      <c r="BE25" s="465"/>
      <c r="BF25" s="456"/>
      <c r="BG25" s="456"/>
      <c r="BH25" s="456"/>
      <c r="BI25" s="456"/>
      <c r="BJ25" s="456"/>
      <c r="BK25" s="456"/>
      <c r="BL25" s="456"/>
      <c r="BM25" s="456"/>
      <c r="BN25" s="16"/>
      <c r="BO25" s="16"/>
      <c r="BP25" s="456"/>
      <c r="BQ25" s="456"/>
      <c r="BR25" s="456"/>
      <c r="BS25" s="456"/>
      <c r="BT25" s="456"/>
      <c r="BU25" s="456"/>
      <c r="BV25" s="456"/>
      <c r="BW25" s="456"/>
      <c r="BX25" s="456"/>
      <c r="BY25" s="456"/>
      <c r="BZ25" s="456"/>
      <c r="CA25" s="456"/>
      <c r="CB25" s="456"/>
      <c r="CC25" s="456"/>
      <c r="CD25" s="456"/>
      <c r="CE25" s="456"/>
      <c r="CF25" s="456"/>
      <c r="CG25" s="456"/>
      <c r="CH25" s="456"/>
      <c r="CI25" s="456"/>
      <c r="CJ25" s="456"/>
      <c r="CK25" s="456"/>
      <c r="CL25" s="456"/>
      <c r="CM25" s="457"/>
      <c r="CN25" s="457"/>
      <c r="CO25" s="456"/>
      <c r="CP25" s="456"/>
      <c r="CQ25" s="456"/>
      <c r="CR25" s="456"/>
      <c r="CS25" s="456"/>
      <c r="CT25" s="456"/>
      <c r="CU25" s="456"/>
      <c r="CV25" s="456"/>
      <c r="CW25" s="456"/>
      <c r="CX25" s="457"/>
      <c r="CY25" s="456"/>
      <c r="CZ25" s="456"/>
      <c r="DA25" s="456"/>
      <c r="DB25" s="456"/>
      <c r="DC25" s="456"/>
      <c r="DD25" s="456"/>
      <c r="DE25" s="456"/>
      <c r="DF25" s="456"/>
      <c r="DG25" s="456"/>
      <c r="DH25" s="456"/>
      <c r="DI25" s="456"/>
      <c r="DJ25" s="16"/>
      <c r="DK25" s="16"/>
      <c r="DL25" s="456"/>
      <c r="DM25" s="456"/>
      <c r="DN25" s="505" t="s">
        <v>91</v>
      </c>
      <c r="DO25" s="505"/>
      <c r="DP25" s="505"/>
      <c r="DQ25" s="505"/>
      <c r="DR25" s="328" t="s">
        <v>699</v>
      </c>
      <c r="DS25" s="328" t="s">
        <v>699</v>
      </c>
      <c r="DT25" s="328" t="s">
        <v>699</v>
      </c>
      <c r="DU25" s="506" t="s">
        <v>87</v>
      </c>
      <c r="DV25" s="506"/>
      <c r="DW25" s="506"/>
      <c r="DX25" s="506"/>
      <c r="DY25" s="506"/>
      <c r="DZ25" s="507" t="s">
        <v>81</v>
      </c>
      <c r="EA25" s="507"/>
      <c r="EB25" s="507"/>
      <c r="EC25" s="507"/>
      <c r="ED25" s="471" t="s">
        <v>77</v>
      </c>
      <c r="EE25" s="471"/>
      <c r="EF25" s="471"/>
      <c r="EG25" s="471"/>
      <c r="EH25" s="473" t="s">
        <v>66</v>
      </c>
      <c r="EI25" s="473"/>
      <c r="EJ25" s="473"/>
      <c r="EK25" s="473"/>
      <c r="EL25" s="457"/>
      <c r="EM25" s="457"/>
      <c r="EN25" s="4" t="s">
        <v>67</v>
      </c>
      <c r="EO25" s="4"/>
      <c r="EP25" s="456"/>
      <c r="EQ25" s="456"/>
      <c r="ER25" s="456"/>
      <c r="ES25" s="458"/>
      <c r="ET25" s="458"/>
      <c r="EU25" s="458"/>
      <c r="EV25" s="458"/>
      <c r="EW25" s="458"/>
      <c r="EX25" s="458"/>
      <c r="EY25" s="458"/>
      <c r="EZ25" s="458"/>
      <c r="FA25" s="458"/>
      <c r="FB25" s="458"/>
      <c r="FD25" s="458"/>
      <c r="FE25" s="458"/>
      <c r="FF25" s="458"/>
      <c r="FG25" s="458"/>
      <c r="FH25" s="458"/>
      <c r="FI25" s="458"/>
      <c r="FJ25" s="458"/>
      <c r="FK25" s="458"/>
      <c r="FL25" s="458"/>
      <c r="FM25" s="458"/>
      <c r="FN25" s="458"/>
      <c r="FO25" s="458"/>
      <c r="FP25" s="458"/>
      <c r="FQ25" s="458"/>
      <c r="FR25" s="458"/>
      <c r="FS25" s="458"/>
      <c r="FT25" s="458"/>
      <c r="FU25" s="458"/>
      <c r="FW25" s="458"/>
      <c r="FX25" s="458"/>
      <c r="FY25" s="456"/>
      <c r="FZ25" s="456"/>
      <c r="GA25" s="456"/>
      <c r="GB25" s="456"/>
      <c r="GC25" s="456"/>
      <c r="GD25" s="456"/>
      <c r="GE25" s="456"/>
      <c r="GF25" s="456"/>
      <c r="GG25" s="456"/>
      <c r="GH25" s="456"/>
      <c r="GI25" s="456"/>
      <c r="GJ25" s="457"/>
      <c r="GK25" s="457"/>
      <c r="GL25" s="456"/>
      <c r="GM25" s="456"/>
      <c r="GN25" s="456"/>
      <c r="GO25" s="456"/>
      <c r="GP25" s="456"/>
      <c r="GQ25" s="456"/>
      <c r="GR25" s="456"/>
      <c r="GS25" s="456"/>
      <c r="GT25" s="456"/>
      <c r="GU25" s="456"/>
      <c r="GV25" s="456"/>
      <c r="GW25" s="456"/>
      <c r="GX25" s="456"/>
      <c r="GY25" s="456"/>
      <c r="GZ25" s="456"/>
      <c r="HA25" s="456"/>
      <c r="HB25" s="456"/>
      <c r="HC25" s="456"/>
      <c r="HD25" s="456"/>
      <c r="HE25" s="456"/>
      <c r="HF25" s="456"/>
      <c r="HG25" s="456"/>
      <c r="HH25" s="456"/>
      <c r="HI25" s="456"/>
      <c r="HJ25" s="456"/>
      <c r="HK25" s="456"/>
      <c r="HL25" s="456"/>
      <c r="HM25" s="456"/>
      <c r="HN25" s="456"/>
      <c r="HO25" s="456"/>
      <c r="HP25" s="456"/>
      <c r="HQ25" s="456"/>
      <c r="HR25" s="456"/>
      <c r="HS25" s="456"/>
      <c r="HT25" s="456"/>
      <c r="HU25" s="456"/>
      <c r="HV25" s="456"/>
      <c r="HW25" s="456"/>
      <c r="HX25" s="456"/>
      <c r="HY25" s="456"/>
      <c r="HZ25" s="456"/>
      <c r="IA25" s="456"/>
      <c r="IB25" s="456"/>
      <c r="IC25" s="456"/>
      <c r="ID25" s="456"/>
      <c r="IE25" s="456"/>
      <c r="IF25" s="456"/>
      <c r="IG25" s="456"/>
      <c r="IH25" s="456"/>
      <c r="II25" s="456"/>
      <c r="IJ25" s="456"/>
      <c r="IK25" s="456"/>
      <c r="IL25" s="456"/>
      <c r="IM25" s="456"/>
      <c r="IN25" s="457"/>
      <c r="IO25" s="457"/>
      <c r="IP25" s="456"/>
      <c r="IQ25" s="456"/>
      <c r="IR25" s="456"/>
      <c r="IS25" s="456"/>
      <c r="IT25" s="456"/>
      <c r="IU25" s="456"/>
      <c r="IV25" s="456"/>
      <c r="IW25" s="456"/>
      <c r="IX25" s="456"/>
      <c r="IY25" s="456"/>
      <c r="IZ25" s="456"/>
      <c r="JA25" s="456"/>
      <c r="JB25" s="456"/>
      <c r="JC25" s="456"/>
      <c r="JD25" s="456"/>
      <c r="JE25" s="456"/>
      <c r="JF25" s="456"/>
      <c r="JG25" s="456"/>
      <c r="JH25" s="456"/>
      <c r="JI25" s="456"/>
      <c r="JJ25" s="456"/>
      <c r="JK25" s="456"/>
      <c r="JL25" s="456"/>
      <c r="JM25" s="456"/>
      <c r="JN25" s="456"/>
      <c r="JO25" s="456"/>
      <c r="JP25" s="456"/>
      <c r="JQ25" s="456"/>
      <c r="JR25" s="456"/>
      <c r="JS25" s="456"/>
      <c r="JT25" s="456"/>
      <c r="JU25" s="456"/>
      <c r="JV25" s="456"/>
      <c r="JW25" s="456"/>
      <c r="JX25" s="456"/>
      <c r="JY25" s="456"/>
      <c r="JZ25" s="456"/>
      <c r="KA25" s="456"/>
      <c r="KB25" s="456"/>
      <c r="KC25" s="456"/>
      <c r="KD25" s="456"/>
      <c r="KE25" s="456"/>
      <c r="KF25" s="456"/>
    </row>
    <row r="26" spans="1:292" ht="70" customHeight="1">
      <c r="A26" s="168" t="s">
        <v>509</v>
      </c>
      <c r="B26" s="325"/>
      <c r="C26" s="325"/>
      <c r="D26" s="325"/>
      <c r="E26" s="325"/>
      <c r="F26" s="294">
        <v>46170</v>
      </c>
      <c r="G26" s="330" t="s">
        <v>514</v>
      </c>
      <c r="H26" s="313" t="s">
        <v>102</v>
      </c>
      <c r="I26" s="104" t="s">
        <v>54</v>
      </c>
      <c r="J26" s="156" t="s">
        <v>115</v>
      </c>
      <c r="K26" s="237"/>
      <c r="L26" s="41" t="s">
        <v>55</v>
      </c>
      <c r="M26" s="497"/>
      <c r="N26" s="143"/>
      <c r="O26" s="176"/>
      <c r="P26" s="451">
        <f t="shared" ref="P26:P27" si="6">P25+35</f>
        <v>46305</v>
      </c>
      <c r="Q26" s="461">
        <f t="shared" si="5"/>
        <v>46340</v>
      </c>
      <c r="R26" s="451">
        <f t="shared" ref="R26:R36" si="7">R25+28</f>
        <v>46396</v>
      </c>
      <c r="S26" s="26"/>
      <c r="T26" s="453">
        <f t="shared" si="4"/>
        <v>46474</v>
      </c>
      <c r="U26" s="519"/>
      <c r="V26" s="518"/>
      <c r="W26" s="209" t="s">
        <v>728</v>
      </c>
      <c r="X26" s="16"/>
      <c r="Y26" s="456"/>
      <c r="Z26" s="456"/>
      <c r="AA26" s="456"/>
      <c r="AB26" s="456"/>
      <c r="AC26" s="465"/>
      <c r="AD26" s="465"/>
      <c r="AE26" s="465"/>
      <c r="AF26" s="465"/>
      <c r="AG26" s="456"/>
      <c r="AH26" s="456"/>
      <c r="AI26" s="456"/>
      <c r="AJ26" s="457"/>
      <c r="AK26" s="457"/>
      <c r="AL26" s="456"/>
      <c r="AM26" s="465"/>
      <c r="AN26" s="465"/>
      <c r="AO26" s="465"/>
      <c r="AP26" s="456"/>
      <c r="AQ26" s="465"/>
      <c r="AR26" s="465"/>
      <c r="AS26" s="465"/>
      <c r="AT26" s="465"/>
      <c r="AU26" s="456"/>
      <c r="AV26" s="465"/>
      <c r="AW26" s="465"/>
      <c r="AX26" s="465"/>
      <c r="AY26" s="465"/>
      <c r="AZ26" s="456"/>
      <c r="BA26" s="456"/>
      <c r="BB26" s="465"/>
      <c r="BC26" s="465"/>
      <c r="BD26" s="465"/>
      <c r="BE26" s="465"/>
      <c r="BF26" s="456"/>
      <c r="BG26" s="456"/>
      <c r="BH26" s="456"/>
      <c r="BI26" s="456"/>
      <c r="BJ26" s="456"/>
      <c r="BK26" s="456"/>
      <c r="BL26" s="456"/>
      <c r="BM26" s="456"/>
      <c r="BN26" s="16"/>
      <c r="BO26" s="16"/>
      <c r="BP26" s="456"/>
      <c r="BQ26" s="456"/>
      <c r="BR26" s="456"/>
      <c r="BS26" s="456"/>
      <c r="BT26" s="456"/>
      <c r="BU26" s="456"/>
      <c r="BV26" s="456"/>
      <c r="BW26" s="456"/>
      <c r="BX26" s="456"/>
      <c r="BY26" s="456"/>
      <c r="BZ26" s="456"/>
      <c r="CA26" s="456"/>
      <c r="CB26" s="456"/>
      <c r="CC26" s="456"/>
      <c r="CD26" s="456"/>
      <c r="CE26" s="456"/>
      <c r="CF26" s="456"/>
      <c r="CG26" s="456"/>
      <c r="CH26" s="456"/>
      <c r="CI26" s="456"/>
      <c r="CJ26" s="456"/>
      <c r="CK26" s="456"/>
      <c r="CL26" s="456"/>
      <c r="CM26" s="457"/>
      <c r="CN26" s="457"/>
      <c r="CO26" s="456"/>
      <c r="CP26" s="456"/>
      <c r="CQ26" s="456"/>
      <c r="CR26" s="456"/>
      <c r="CS26" s="456"/>
      <c r="CT26" s="456"/>
      <c r="CU26" s="456"/>
      <c r="CV26" s="456"/>
      <c r="CW26" s="456"/>
      <c r="CX26" s="457"/>
      <c r="CY26" s="456"/>
      <c r="CZ26" s="456"/>
      <c r="DA26" s="456"/>
      <c r="DB26" s="456"/>
      <c r="DC26" s="456"/>
      <c r="DD26" s="456"/>
      <c r="DE26" s="456"/>
      <c r="DF26" s="456"/>
      <c r="DG26" s="456"/>
      <c r="DH26" s="456"/>
      <c r="DI26" s="456"/>
      <c r="DJ26" s="16"/>
      <c r="DK26" s="16"/>
      <c r="DL26" s="456"/>
      <c r="DM26" s="456"/>
      <c r="DN26" s="456"/>
      <c r="DO26" s="456"/>
      <c r="DP26" s="456"/>
      <c r="DQ26" s="456"/>
      <c r="DR26" s="505" t="s">
        <v>91</v>
      </c>
      <c r="DS26" s="505"/>
      <c r="DT26" s="505"/>
      <c r="DU26" s="505"/>
      <c r="DV26" s="328" t="s">
        <v>699</v>
      </c>
      <c r="DW26" s="328" t="s">
        <v>699</v>
      </c>
      <c r="DX26" s="328" t="s">
        <v>699</v>
      </c>
      <c r="DY26" s="328" t="s">
        <v>699</v>
      </c>
      <c r="DZ26" s="506" t="s">
        <v>87</v>
      </c>
      <c r="EA26" s="506"/>
      <c r="EB26" s="506"/>
      <c r="EC26" s="506"/>
      <c r="ED26" s="507" t="s">
        <v>81</v>
      </c>
      <c r="EE26" s="507"/>
      <c r="EF26" s="507"/>
      <c r="EG26" s="507"/>
      <c r="EH26" s="471" t="s">
        <v>77</v>
      </c>
      <c r="EI26" s="471"/>
      <c r="EJ26" s="471"/>
      <c r="EK26" s="471"/>
      <c r="EL26" s="457"/>
      <c r="EM26" s="457"/>
      <c r="EN26" s="473" t="s">
        <v>66</v>
      </c>
      <c r="EO26" s="473"/>
      <c r="EP26" s="473"/>
      <c r="EQ26" s="473"/>
      <c r="ER26" s="4" t="s">
        <v>67</v>
      </c>
      <c r="ES26" s="4"/>
      <c r="ET26" s="456"/>
      <c r="EU26" s="456"/>
      <c r="EV26" s="456"/>
      <c r="EW26" s="456"/>
      <c r="EX26" s="456"/>
      <c r="EY26" s="456"/>
      <c r="EZ26" s="456"/>
      <c r="FA26" s="456"/>
      <c r="FB26" s="456"/>
      <c r="FC26" s="456"/>
      <c r="FD26" s="456"/>
      <c r="FE26" s="456"/>
      <c r="FF26" s="456"/>
      <c r="FG26" s="456"/>
      <c r="FH26" s="456"/>
      <c r="FI26" s="456"/>
      <c r="FJ26" s="456"/>
      <c r="FK26" s="456"/>
      <c r="FL26" s="456"/>
      <c r="FM26" s="456"/>
      <c r="FN26" s="456"/>
      <c r="FO26" s="456"/>
      <c r="FP26" s="456"/>
      <c r="FQ26" s="456"/>
      <c r="FR26" s="456"/>
      <c r="FS26" s="456"/>
      <c r="FT26" s="456"/>
      <c r="FU26" s="456"/>
      <c r="FV26" s="456"/>
      <c r="FW26" s="456"/>
      <c r="FX26" s="456"/>
      <c r="FY26" s="456"/>
      <c r="FZ26" s="456"/>
      <c r="GA26" s="456"/>
      <c r="GB26" s="456"/>
      <c r="GC26" s="456"/>
      <c r="GD26" s="456"/>
      <c r="GE26" s="456"/>
      <c r="GF26" s="456"/>
      <c r="GG26" s="456"/>
      <c r="GH26" s="456"/>
      <c r="GI26" s="456"/>
      <c r="GJ26" s="457"/>
      <c r="GK26" s="457"/>
      <c r="GL26" s="456"/>
      <c r="GM26" s="456"/>
      <c r="GN26" s="456"/>
      <c r="GO26" s="456"/>
      <c r="GP26" s="456"/>
      <c r="GQ26" s="456"/>
      <c r="GR26" s="456"/>
      <c r="GS26" s="456"/>
      <c r="GT26" s="456"/>
      <c r="GU26" s="456"/>
      <c r="GV26" s="456"/>
      <c r="GW26" s="456"/>
      <c r="GX26" s="456"/>
      <c r="GY26" s="456"/>
      <c r="GZ26" s="456"/>
      <c r="HA26" s="456"/>
      <c r="HB26" s="456"/>
      <c r="HC26" s="456"/>
      <c r="HD26" s="456"/>
      <c r="HE26" s="456"/>
      <c r="HF26" s="456"/>
      <c r="HG26" s="456"/>
      <c r="HH26" s="456"/>
      <c r="HI26" s="456"/>
      <c r="HJ26" s="456"/>
      <c r="HK26" s="456"/>
      <c r="HL26" s="456"/>
      <c r="HM26" s="456"/>
      <c r="HN26" s="456"/>
      <c r="HO26" s="456"/>
      <c r="HP26" s="456"/>
      <c r="HQ26" s="456"/>
      <c r="HR26" s="456"/>
      <c r="HS26" s="456"/>
      <c r="HT26" s="456"/>
      <c r="HU26" s="456"/>
      <c r="HV26" s="456"/>
      <c r="HW26" s="456"/>
      <c r="HX26" s="456"/>
      <c r="HY26" s="456"/>
      <c r="HZ26" s="456"/>
      <c r="IA26" s="456"/>
      <c r="IB26" s="456"/>
      <c r="IC26" s="456"/>
      <c r="ID26" s="456"/>
      <c r="IE26" s="456"/>
      <c r="IF26" s="456"/>
      <c r="IG26" s="456"/>
      <c r="IH26" s="456"/>
      <c r="II26" s="456"/>
      <c r="IJ26" s="456"/>
      <c r="IK26" s="456"/>
      <c r="IL26" s="456"/>
      <c r="IM26" s="456"/>
      <c r="IN26" s="457"/>
      <c r="IO26" s="457"/>
      <c r="IP26" s="456"/>
      <c r="IQ26" s="456"/>
      <c r="IR26" s="456"/>
      <c r="IS26" s="456"/>
      <c r="IT26" s="456"/>
      <c r="IU26" s="456"/>
      <c r="IV26" s="456"/>
      <c r="IW26" s="456"/>
      <c r="IX26" s="456"/>
      <c r="IY26" s="456"/>
      <c r="IZ26" s="456"/>
      <c r="JA26" s="456"/>
      <c r="JB26" s="456"/>
      <c r="JC26" s="456"/>
      <c r="JD26" s="456"/>
      <c r="JE26" s="456"/>
      <c r="JF26" s="456"/>
      <c r="JG26" s="456"/>
      <c r="JH26" s="456"/>
      <c r="JI26" s="456"/>
      <c r="JJ26" s="456"/>
      <c r="JK26" s="456"/>
      <c r="JL26" s="456"/>
      <c r="JM26" s="456"/>
      <c r="JN26" s="456"/>
      <c r="JO26" s="456"/>
      <c r="JP26" s="456"/>
      <c r="JQ26" s="456"/>
      <c r="JR26" s="456"/>
      <c r="JS26" s="456"/>
      <c r="JT26" s="456"/>
      <c r="JU26" s="456"/>
      <c r="JV26" s="456"/>
      <c r="JW26" s="456"/>
      <c r="JX26" s="456"/>
      <c r="JY26" s="456"/>
      <c r="JZ26" s="456"/>
      <c r="KA26" s="456"/>
      <c r="KB26" s="456"/>
      <c r="KC26" s="456"/>
      <c r="KD26" s="456"/>
      <c r="KE26" s="456"/>
      <c r="KF26" s="456"/>
    </row>
    <row r="27" spans="1:292" ht="70" customHeight="1">
      <c r="A27" s="168" t="s">
        <v>510</v>
      </c>
      <c r="B27" s="325"/>
      <c r="C27" s="325"/>
      <c r="D27" s="325"/>
      <c r="E27" s="325"/>
      <c r="F27" s="294">
        <v>46170</v>
      </c>
      <c r="G27" s="330" t="s">
        <v>515</v>
      </c>
      <c r="H27" s="313" t="s">
        <v>102</v>
      </c>
      <c r="I27" s="104" t="s">
        <v>54</v>
      </c>
      <c r="J27" s="156" t="s">
        <v>115</v>
      </c>
      <c r="K27" s="237"/>
      <c r="L27" s="41" t="s">
        <v>55</v>
      </c>
      <c r="M27" s="497"/>
      <c r="N27" s="143"/>
      <c r="O27" s="176"/>
      <c r="P27" s="451">
        <f t="shared" si="6"/>
        <v>46340</v>
      </c>
      <c r="Q27" s="461">
        <f>Q26+28</f>
        <v>46368</v>
      </c>
      <c r="R27" s="451">
        <f t="shared" si="7"/>
        <v>46424</v>
      </c>
      <c r="S27" s="26"/>
      <c r="T27" s="453">
        <f t="shared" si="4"/>
        <v>46502</v>
      </c>
      <c r="U27" s="519"/>
      <c r="V27" s="518"/>
      <c r="W27" s="209" t="s">
        <v>730</v>
      </c>
      <c r="X27" s="16"/>
      <c r="Y27" s="456"/>
      <c r="Z27" s="456"/>
      <c r="AA27" s="456"/>
      <c r="AB27" s="456"/>
      <c r="AC27" s="465"/>
      <c r="AD27" s="465"/>
      <c r="AE27" s="465"/>
      <c r="AF27" s="465"/>
      <c r="AG27" s="456"/>
      <c r="AH27" s="456"/>
      <c r="AI27" s="456"/>
      <c r="AJ27" s="457"/>
      <c r="AK27" s="457"/>
      <c r="AL27" s="456"/>
      <c r="AM27" s="465"/>
      <c r="AN27" s="465"/>
      <c r="AO27" s="465"/>
      <c r="AP27" s="456"/>
      <c r="AQ27" s="465"/>
      <c r="AR27" s="465"/>
      <c r="AS27" s="465"/>
      <c r="AT27" s="465"/>
      <c r="AU27" s="456"/>
      <c r="AV27" s="465"/>
      <c r="AW27" s="465"/>
      <c r="AX27" s="465"/>
      <c r="AY27" s="465"/>
      <c r="AZ27" s="456"/>
      <c r="BA27" s="456"/>
      <c r="BB27" s="465"/>
      <c r="BC27" s="465"/>
      <c r="BD27" s="465"/>
      <c r="BE27" s="465"/>
      <c r="BF27" s="456"/>
      <c r="BG27" s="456"/>
      <c r="BH27" s="456"/>
      <c r="BI27" s="456"/>
      <c r="BJ27" s="456"/>
      <c r="BK27" s="456"/>
      <c r="BL27" s="456"/>
      <c r="BM27" s="456"/>
      <c r="BN27" s="16"/>
      <c r="BO27" s="16"/>
      <c r="BP27" s="456"/>
      <c r="BQ27" s="456"/>
      <c r="BR27" s="456"/>
      <c r="BS27" s="456"/>
      <c r="BT27" s="456"/>
      <c r="BU27" s="456"/>
      <c r="BV27" s="456"/>
      <c r="BW27" s="456"/>
      <c r="BX27" s="456"/>
      <c r="BY27" s="456"/>
      <c r="BZ27" s="456"/>
      <c r="CA27" s="456"/>
      <c r="CB27" s="456"/>
      <c r="CC27" s="456"/>
      <c r="CD27" s="456"/>
      <c r="CE27" s="456"/>
      <c r="CF27" s="456"/>
      <c r="CG27" s="456"/>
      <c r="CH27" s="456"/>
      <c r="CI27" s="456"/>
      <c r="CJ27" s="456"/>
      <c r="CK27" s="456"/>
      <c r="CL27" s="456"/>
      <c r="CM27" s="457"/>
      <c r="CN27" s="457"/>
      <c r="CO27" s="456"/>
      <c r="CP27" s="456"/>
      <c r="CQ27" s="456"/>
      <c r="CR27" s="456"/>
      <c r="CS27" s="456"/>
      <c r="CT27" s="456"/>
      <c r="CU27" s="456"/>
      <c r="CV27" s="456"/>
      <c r="CW27" s="456"/>
      <c r="CX27" s="457"/>
      <c r="CY27" s="456"/>
      <c r="CZ27" s="456"/>
      <c r="DA27" s="456"/>
      <c r="DB27" s="456"/>
      <c r="DC27" s="456"/>
      <c r="DD27" s="456"/>
      <c r="DE27" s="456"/>
      <c r="DF27" s="456"/>
      <c r="DG27" s="456"/>
      <c r="DH27" s="456"/>
      <c r="DI27" s="456"/>
      <c r="DJ27" s="16"/>
      <c r="DK27" s="16"/>
      <c r="DL27" s="456"/>
      <c r="DM27" s="456"/>
      <c r="DN27" s="456"/>
      <c r="DO27" s="456"/>
      <c r="DP27" s="456"/>
      <c r="DQ27" s="456"/>
      <c r="DR27" s="456"/>
      <c r="DS27" s="456"/>
      <c r="DT27" s="456"/>
      <c r="DU27" s="456"/>
      <c r="DV27" s="505" t="s">
        <v>91</v>
      </c>
      <c r="DW27" s="505"/>
      <c r="DX27" s="505"/>
      <c r="DY27" s="505"/>
      <c r="DZ27" s="328" t="s">
        <v>699</v>
      </c>
      <c r="EA27" s="328" t="s">
        <v>699</v>
      </c>
      <c r="EB27" s="328" t="s">
        <v>699</v>
      </c>
      <c r="EC27" s="328" t="s">
        <v>699</v>
      </c>
      <c r="ED27" s="506" t="s">
        <v>87</v>
      </c>
      <c r="EE27" s="506"/>
      <c r="EF27" s="506"/>
      <c r="EG27" s="506"/>
      <c r="EH27" s="507" t="s">
        <v>81</v>
      </c>
      <c r="EI27" s="507"/>
      <c r="EJ27" s="507"/>
      <c r="EK27" s="507"/>
      <c r="EL27" s="457"/>
      <c r="EM27" s="457"/>
      <c r="EN27" s="471" t="s">
        <v>77</v>
      </c>
      <c r="EO27" s="471"/>
      <c r="EP27" s="471"/>
      <c r="EQ27" s="471"/>
      <c r="ER27" s="473" t="s">
        <v>66</v>
      </c>
      <c r="ES27" s="473"/>
      <c r="ET27" s="473"/>
      <c r="EU27" s="473"/>
      <c r="EV27" s="4" t="s">
        <v>67</v>
      </c>
      <c r="EW27" s="4"/>
      <c r="EX27" s="456"/>
      <c r="EY27" s="456"/>
      <c r="EZ27" s="456"/>
      <c r="FA27" s="456"/>
      <c r="FB27" s="456"/>
      <c r="FC27" s="456"/>
      <c r="FD27" s="456"/>
      <c r="FE27" s="456"/>
      <c r="FF27" s="456"/>
      <c r="FG27" s="456"/>
      <c r="FH27" s="456"/>
      <c r="FI27" s="456"/>
      <c r="FJ27" s="456"/>
      <c r="FK27" s="456"/>
      <c r="FL27" s="456"/>
      <c r="FM27" s="456"/>
      <c r="FN27" s="456"/>
      <c r="FO27" s="456"/>
      <c r="FP27" s="456"/>
      <c r="FQ27" s="456"/>
      <c r="FR27" s="456"/>
      <c r="FS27" s="456"/>
      <c r="FT27" s="456"/>
      <c r="FU27" s="456"/>
      <c r="FV27" s="456"/>
      <c r="FW27" s="456"/>
      <c r="FX27" s="456"/>
      <c r="FY27" s="456"/>
      <c r="FZ27" s="456"/>
      <c r="GA27" s="456"/>
      <c r="GB27" s="456"/>
      <c r="GC27" s="456"/>
      <c r="GD27" s="456"/>
      <c r="GE27" s="456"/>
      <c r="GF27" s="456"/>
      <c r="GG27" s="456"/>
      <c r="GH27" s="456"/>
      <c r="GI27" s="456"/>
      <c r="GJ27" s="457"/>
      <c r="GK27" s="457"/>
      <c r="GL27" s="456"/>
      <c r="GM27" s="456"/>
      <c r="GN27" s="456"/>
      <c r="GO27" s="456"/>
      <c r="GP27" s="456"/>
      <c r="GQ27" s="456"/>
      <c r="GR27" s="456"/>
      <c r="GS27" s="456"/>
      <c r="GT27" s="456"/>
      <c r="GU27" s="456"/>
      <c r="GV27" s="456"/>
      <c r="GW27" s="456"/>
      <c r="GX27" s="456"/>
      <c r="GY27" s="456"/>
      <c r="GZ27" s="456"/>
      <c r="HA27" s="456"/>
      <c r="HB27" s="456"/>
      <c r="HC27" s="456"/>
      <c r="HD27" s="456"/>
      <c r="HE27" s="456"/>
      <c r="HF27" s="456"/>
      <c r="HG27" s="456"/>
      <c r="HH27" s="456"/>
      <c r="HI27" s="456"/>
      <c r="HJ27" s="456"/>
      <c r="HK27" s="456"/>
      <c r="HL27" s="456"/>
      <c r="HM27" s="456"/>
      <c r="HN27" s="456"/>
      <c r="HO27" s="456"/>
      <c r="HP27" s="456"/>
      <c r="HQ27" s="456"/>
      <c r="HR27" s="456"/>
      <c r="HS27" s="456"/>
      <c r="HT27" s="456"/>
      <c r="HU27" s="456"/>
      <c r="HV27" s="456"/>
      <c r="HW27" s="456"/>
      <c r="HX27" s="456"/>
      <c r="HY27" s="456"/>
      <c r="HZ27" s="456"/>
      <c r="IA27" s="456"/>
      <c r="IB27" s="456"/>
      <c r="IC27" s="456"/>
      <c r="ID27" s="456"/>
      <c r="IE27" s="456"/>
      <c r="IF27" s="456"/>
      <c r="IG27" s="456"/>
      <c r="IH27" s="456"/>
      <c r="II27" s="456"/>
      <c r="IJ27" s="456"/>
      <c r="IK27" s="456"/>
      <c r="IL27" s="456"/>
      <c r="IM27" s="456"/>
      <c r="IN27" s="457"/>
      <c r="IO27" s="457"/>
      <c r="IP27" s="456"/>
      <c r="IQ27" s="456"/>
      <c r="IR27" s="456"/>
      <c r="IS27" s="456"/>
      <c r="IT27" s="456"/>
      <c r="IU27" s="456"/>
      <c r="IV27" s="456"/>
      <c r="IW27" s="456"/>
      <c r="IX27" s="456"/>
      <c r="IY27" s="456"/>
      <c r="IZ27" s="456"/>
      <c r="JA27" s="456"/>
      <c r="JB27" s="456"/>
      <c r="JC27" s="456"/>
      <c r="JD27" s="456"/>
      <c r="JE27" s="456"/>
      <c r="JF27" s="456"/>
      <c r="JG27" s="456"/>
      <c r="JH27" s="456"/>
      <c r="JI27" s="456"/>
      <c r="JJ27" s="456"/>
      <c r="JK27" s="456"/>
      <c r="JL27" s="456"/>
      <c r="JM27" s="456"/>
      <c r="JN27" s="456"/>
      <c r="JO27" s="456"/>
      <c r="JP27" s="456"/>
      <c r="JQ27" s="456"/>
      <c r="JR27" s="456"/>
      <c r="JS27" s="456"/>
      <c r="JT27" s="456"/>
      <c r="JU27" s="456"/>
      <c r="JV27" s="456"/>
      <c r="JW27" s="456"/>
      <c r="JX27" s="456"/>
      <c r="JY27" s="456"/>
      <c r="JZ27" s="456"/>
      <c r="KA27" s="456"/>
      <c r="KB27" s="456"/>
      <c r="KC27" s="456"/>
      <c r="KD27" s="456"/>
      <c r="KE27" s="456"/>
      <c r="KF27" s="456"/>
    </row>
    <row r="28" spans="1:292" ht="70" customHeight="1">
      <c r="A28" s="168" t="s">
        <v>511</v>
      </c>
      <c r="B28" s="325"/>
      <c r="C28" s="325"/>
      <c r="D28" s="325"/>
      <c r="E28" s="325"/>
      <c r="F28" s="294">
        <v>46170</v>
      </c>
      <c r="G28" s="330" t="s">
        <v>516</v>
      </c>
      <c r="H28" s="313" t="s">
        <v>102</v>
      </c>
      <c r="I28" s="104" t="s">
        <v>54</v>
      </c>
      <c r="J28" s="156" t="s">
        <v>115</v>
      </c>
      <c r="K28" s="237"/>
      <c r="L28" s="41" t="s">
        <v>55</v>
      </c>
      <c r="M28" s="497"/>
      <c r="N28" s="143"/>
      <c r="O28" s="176"/>
      <c r="P28" s="451">
        <f>P27+28</f>
        <v>46368</v>
      </c>
      <c r="Q28" s="461">
        <f t="shared" ref="Q28" si="8">Q27+28</f>
        <v>46396</v>
      </c>
      <c r="R28" s="451">
        <v>46467</v>
      </c>
      <c r="S28" s="26"/>
      <c r="T28" s="453">
        <f t="shared" si="4"/>
        <v>46530</v>
      </c>
      <c r="U28" s="519"/>
      <c r="V28" s="518"/>
      <c r="W28" s="209" t="s">
        <v>730</v>
      </c>
      <c r="X28" s="16"/>
      <c r="Y28" s="456"/>
      <c r="Z28" s="456"/>
      <c r="AA28" s="456"/>
      <c r="AB28" s="456"/>
      <c r="AC28" s="465"/>
      <c r="AD28" s="465"/>
      <c r="AE28" s="465"/>
      <c r="AF28" s="465"/>
      <c r="AG28" s="456"/>
      <c r="AH28" s="456"/>
      <c r="AI28" s="456"/>
      <c r="AJ28" s="457"/>
      <c r="AK28" s="457"/>
      <c r="AL28" s="456"/>
      <c r="AM28" s="465"/>
      <c r="AN28" s="465"/>
      <c r="AO28" s="465"/>
      <c r="AP28" s="456"/>
      <c r="AQ28" s="465"/>
      <c r="AR28" s="465"/>
      <c r="AS28" s="465"/>
      <c r="AT28" s="465"/>
      <c r="AU28" s="456"/>
      <c r="AV28" s="465"/>
      <c r="AW28" s="465"/>
      <c r="AX28" s="465"/>
      <c r="AY28" s="465"/>
      <c r="AZ28" s="456"/>
      <c r="BA28" s="456"/>
      <c r="BB28" s="465"/>
      <c r="BC28" s="465"/>
      <c r="BD28" s="465"/>
      <c r="BE28" s="465"/>
      <c r="BF28" s="456"/>
      <c r="BG28" s="456"/>
      <c r="BH28" s="456"/>
      <c r="BI28" s="456"/>
      <c r="BJ28" s="456"/>
      <c r="BK28" s="456"/>
      <c r="BL28" s="456"/>
      <c r="BM28" s="456"/>
      <c r="BN28" s="16"/>
      <c r="BO28" s="16"/>
      <c r="BP28" s="456"/>
      <c r="BQ28" s="456"/>
      <c r="BR28" s="456"/>
      <c r="BS28" s="456"/>
      <c r="BT28" s="456"/>
      <c r="BU28" s="456"/>
      <c r="BV28" s="456"/>
      <c r="BW28" s="456"/>
      <c r="BX28" s="456"/>
      <c r="BY28" s="456"/>
      <c r="BZ28" s="456"/>
      <c r="CA28" s="456"/>
      <c r="CB28" s="456"/>
      <c r="CC28" s="456"/>
      <c r="CD28" s="456"/>
      <c r="CE28" s="456"/>
      <c r="CF28" s="456"/>
      <c r="CG28" s="456"/>
      <c r="CH28" s="456"/>
      <c r="CI28" s="456"/>
      <c r="CJ28" s="456"/>
      <c r="CK28" s="456"/>
      <c r="CL28" s="456"/>
      <c r="CM28" s="457"/>
      <c r="CN28" s="457"/>
      <c r="CO28" s="456"/>
      <c r="CP28" s="456"/>
      <c r="CQ28" s="456"/>
      <c r="CR28" s="456"/>
      <c r="CS28" s="456"/>
      <c r="CT28" s="456"/>
      <c r="CU28" s="456"/>
      <c r="CV28" s="456"/>
      <c r="CW28" s="456"/>
      <c r="CX28" s="457"/>
      <c r="CY28" s="456"/>
      <c r="CZ28" s="456"/>
      <c r="DA28" s="456"/>
      <c r="DB28" s="456"/>
      <c r="DC28" s="456"/>
      <c r="DD28" s="456"/>
      <c r="DE28" s="456"/>
      <c r="DF28" s="456"/>
      <c r="DG28" s="456"/>
      <c r="DH28" s="456"/>
      <c r="DI28" s="456"/>
      <c r="DJ28" s="16"/>
      <c r="DK28" s="16"/>
      <c r="DL28" s="456"/>
      <c r="DM28" s="456"/>
      <c r="DN28" s="456"/>
      <c r="DO28" s="456"/>
      <c r="DP28" s="456"/>
      <c r="DQ28" s="456"/>
      <c r="DR28" s="456"/>
      <c r="DS28" s="456"/>
      <c r="DT28" s="456"/>
      <c r="DU28" s="456"/>
      <c r="DV28" s="456"/>
      <c r="DW28" s="456"/>
      <c r="DX28" s="456"/>
      <c r="DY28" s="456"/>
      <c r="DZ28" s="505" t="s">
        <v>91</v>
      </c>
      <c r="EA28" s="505"/>
      <c r="EB28" s="505"/>
      <c r="EC28" s="505"/>
      <c r="ED28" s="328" t="s">
        <v>699</v>
      </c>
      <c r="EE28" s="328" t="s">
        <v>699</v>
      </c>
      <c r="EF28" s="328" t="s">
        <v>699</v>
      </c>
      <c r="EG28" s="328" t="s">
        <v>699</v>
      </c>
      <c r="EH28" s="506" t="s">
        <v>87</v>
      </c>
      <c r="EI28" s="506"/>
      <c r="EJ28" s="506"/>
      <c r="EK28" s="506"/>
      <c r="EL28" s="457"/>
      <c r="EM28" s="457"/>
      <c r="EN28" s="507" t="s">
        <v>81</v>
      </c>
      <c r="EO28" s="507"/>
      <c r="EP28" s="507"/>
      <c r="EQ28" s="507"/>
      <c r="ER28" s="471" t="s">
        <v>77</v>
      </c>
      <c r="ES28" s="471"/>
      <c r="ET28" s="471"/>
      <c r="EU28" s="471"/>
      <c r="EV28" s="473" t="s">
        <v>66</v>
      </c>
      <c r="EW28" s="473"/>
      <c r="EX28" s="473"/>
      <c r="EY28" s="473"/>
      <c r="EZ28" s="4" t="s">
        <v>67</v>
      </c>
      <c r="FA28" s="4"/>
      <c r="FB28" s="456"/>
      <c r="FC28" s="456"/>
      <c r="FD28" s="456"/>
      <c r="FE28" s="456"/>
      <c r="FF28" s="456"/>
      <c r="FG28" s="456"/>
      <c r="FH28" s="456"/>
      <c r="FI28" s="456"/>
      <c r="FJ28" s="456"/>
      <c r="FK28" s="456"/>
      <c r="FL28" s="456"/>
      <c r="FM28" s="456"/>
      <c r="FN28" s="456"/>
      <c r="FO28" s="456"/>
      <c r="FP28" s="456"/>
      <c r="FQ28" s="456"/>
      <c r="FR28" s="456"/>
      <c r="FS28" s="456"/>
      <c r="FT28" s="456"/>
      <c r="FU28" s="456"/>
      <c r="FV28" s="456"/>
      <c r="FW28" s="456"/>
      <c r="FX28" s="456"/>
      <c r="FY28" s="456"/>
      <c r="FZ28" s="456"/>
      <c r="GA28" s="456"/>
      <c r="GB28" s="456"/>
      <c r="GC28" s="456"/>
      <c r="GD28" s="456"/>
      <c r="GE28" s="456"/>
      <c r="GF28" s="456"/>
      <c r="GG28" s="456"/>
      <c r="GH28" s="456"/>
      <c r="GI28" s="456"/>
      <c r="GJ28" s="457"/>
      <c r="GK28" s="457"/>
      <c r="GL28" s="456"/>
      <c r="GM28" s="456"/>
      <c r="GN28" s="456"/>
      <c r="GO28" s="456"/>
      <c r="GP28" s="456"/>
      <c r="GQ28" s="456"/>
      <c r="GR28" s="456"/>
      <c r="GS28" s="456"/>
      <c r="GT28" s="456"/>
      <c r="GU28" s="456"/>
      <c r="GV28" s="456"/>
      <c r="GW28" s="456"/>
      <c r="GX28" s="456"/>
      <c r="GY28" s="456"/>
      <c r="GZ28" s="456"/>
      <c r="HA28" s="456"/>
      <c r="HB28" s="456"/>
      <c r="HC28" s="456"/>
      <c r="HD28" s="456"/>
      <c r="HE28" s="456"/>
      <c r="HF28" s="456"/>
      <c r="HG28" s="456"/>
      <c r="HH28" s="456"/>
      <c r="HI28" s="456"/>
      <c r="HJ28" s="456"/>
      <c r="HK28" s="456"/>
      <c r="HL28" s="456"/>
      <c r="HM28" s="456"/>
      <c r="HN28" s="456"/>
      <c r="HO28" s="456"/>
      <c r="HP28" s="456"/>
      <c r="HQ28" s="456"/>
      <c r="HR28" s="456"/>
      <c r="HS28" s="456"/>
      <c r="HT28" s="456"/>
      <c r="HU28" s="456"/>
      <c r="HV28" s="456"/>
      <c r="HW28" s="456"/>
      <c r="HX28" s="456"/>
      <c r="HY28" s="456"/>
      <c r="HZ28" s="456"/>
      <c r="IA28" s="456"/>
      <c r="IB28" s="456"/>
      <c r="IC28" s="456"/>
      <c r="ID28" s="456"/>
      <c r="IE28" s="456"/>
      <c r="IF28" s="456"/>
      <c r="IG28" s="456"/>
      <c r="IH28" s="456"/>
      <c r="II28" s="456"/>
      <c r="IJ28" s="456"/>
      <c r="IK28" s="456"/>
      <c r="IL28" s="456"/>
      <c r="IM28" s="456"/>
      <c r="IN28" s="457"/>
      <c r="IO28" s="457"/>
      <c r="IP28" s="456"/>
      <c r="IQ28" s="456"/>
      <c r="IR28" s="456"/>
      <c r="IS28" s="456"/>
      <c r="IT28" s="456"/>
      <c r="IU28" s="456"/>
      <c r="IV28" s="456"/>
      <c r="IW28" s="456"/>
      <c r="IX28" s="456"/>
      <c r="IY28" s="456"/>
      <c r="IZ28" s="456"/>
      <c r="JA28" s="456"/>
      <c r="JB28" s="456"/>
      <c r="JC28" s="456"/>
      <c r="JD28" s="456"/>
      <c r="JE28" s="456"/>
      <c r="JF28" s="456"/>
      <c r="JG28" s="456"/>
      <c r="JH28" s="456"/>
      <c r="JI28" s="456"/>
      <c r="JJ28" s="456"/>
      <c r="JK28" s="456"/>
      <c r="JL28" s="456"/>
      <c r="JM28" s="456"/>
      <c r="JN28" s="456"/>
      <c r="JO28" s="456"/>
      <c r="JP28" s="456"/>
      <c r="JQ28" s="456"/>
      <c r="JR28" s="456"/>
      <c r="JS28" s="456"/>
      <c r="JT28" s="456"/>
      <c r="JU28" s="456"/>
      <c r="JV28" s="456"/>
      <c r="JW28" s="456"/>
      <c r="JX28" s="456"/>
      <c r="JY28" s="456"/>
      <c r="JZ28" s="456"/>
      <c r="KA28" s="456"/>
      <c r="KB28" s="456"/>
      <c r="KC28" s="456"/>
      <c r="KD28" s="456"/>
      <c r="KE28" s="456"/>
      <c r="KF28" s="456"/>
    </row>
    <row r="29" spans="1:292" ht="70" customHeight="1">
      <c r="A29" s="168" t="s">
        <v>512</v>
      </c>
      <c r="B29" s="325"/>
      <c r="C29" s="325"/>
      <c r="D29" s="325"/>
      <c r="E29" s="325"/>
      <c r="F29" s="331" t="s">
        <v>113</v>
      </c>
      <c r="G29" s="330" t="s">
        <v>517</v>
      </c>
      <c r="H29" s="313" t="s">
        <v>102</v>
      </c>
      <c r="I29" s="104" t="s">
        <v>54</v>
      </c>
      <c r="J29" s="156" t="s">
        <v>115</v>
      </c>
      <c r="K29" s="237"/>
      <c r="L29" s="41" t="s">
        <v>55</v>
      </c>
      <c r="M29" s="497"/>
      <c r="N29" s="143"/>
      <c r="O29" s="176"/>
      <c r="P29" s="451">
        <f t="shared" ref="P29:P36" si="9">P28+28</f>
        <v>46396</v>
      </c>
      <c r="Q29" s="461">
        <v>46439</v>
      </c>
      <c r="R29" s="451">
        <f t="shared" si="7"/>
        <v>46495</v>
      </c>
      <c r="S29" s="26"/>
      <c r="T29" s="453">
        <v>46557</v>
      </c>
      <c r="U29" s="519"/>
      <c r="V29" s="518"/>
      <c r="W29" s="209" t="s">
        <v>730</v>
      </c>
      <c r="X29" s="16"/>
      <c r="Y29" s="456"/>
      <c r="Z29" s="456"/>
      <c r="AA29" s="456"/>
      <c r="AB29" s="456"/>
      <c r="AC29" s="465"/>
      <c r="AD29" s="465"/>
      <c r="AE29" s="465"/>
      <c r="AF29" s="465"/>
      <c r="AG29" s="456"/>
      <c r="AH29" s="456"/>
      <c r="AI29" s="456"/>
      <c r="AJ29" s="457"/>
      <c r="AK29" s="457"/>
      <c r="AL29" s="456"/>
      <c r="AM29" s="465"/>
      <c r="AN29" s="465"/>
      <c r="AO29" s="465"/>
      <c r="AP29" s="456"/>
      <c r="AQ29" s="465"/>
      <c r="AR29" s="465"/>
      <c r="AS29" s="465"/>
      <c r="AT29" s="465"/>
      <c r="AU29" s="456"/>
      <c r="AV29" s="465"/>
      <c r="AW29" s="465"/>
      <c r="AX29" s="465"/>
      <c r="AY29" s="465"/>
      <c r="AZ29" s="456"/>
      <c r="BA29" s="456"/>
      <c r="BB29" s="465"/>
      <c r="BC29" s="465"/>
      <c r="BD29" s="465"/>
      <c r="BE29" s="465"/>
      <c r="BF29" s="456"/>
      <c r="BG29" s="456"/>
      <c r="BH29" s="456"/>
      <c r="BI29" s="456"/>
      <c r="BJ29" s="456"/>
      <c r="BK29" s="456"/>
      <c r="BL29" s="456"/>
      <c r="BM29" s="456"/>
      <c r="BN29" s="16"/>
      <c r="BO29" s="16"/>
      <c r="BP29" s="456"/>
      <c r="BQ29" s="456"/>
      <c r="BR29" s="456"/>
      <c r="BS29" s="456"/>
      <c r="BT29" s="456"/>
      <c r="BU29" s="456"/>
      <c r="BV29" s="456"/>
      <c r="BW29" s="456"/>
      <c r="BX29" s="456"/>
      <c r="BY29" s="456"/>
      <c r="BZ29" s="456"/>
      <c r="CA29" s="456"/>
      <c r="CB29" s="456"/>
      <c r="CC29" s="456"/>
      <c r="CD29" s="456"/>
      <c r="CE29" s="456"/>
      <c r="CF29" s="456"/>
      <c r="CG29" s="456"/>
      <c r="CH29" s="456"/>
      <c r="CI29" s="456"/>
      <c r="CJ29" s="456"/>
      <c r="CK29" s="456"/>
      <c r="CL29" s="456"/>
      <c r="CM29" s="457"/>
      <c r="CN29" s="457"/>
      <c r="CO29" s="456"/>
      <c r="CP29" s="456"/>
      <c r="CQ29" s="456"/>
      <c r="CR29" s="456"/>
      <c r="CS29" s="456"/>
      <c r="CT29" s="456"/>
      <c r="CU29" s="456"/>
      <c r="CV29" s="456"/>
      <c r="CW29" s="456"/>
      <c r="CX29" s="457"/>
      <c r="CY29" s="456"/>
      <c r="CZ29" s="456"/>
      <c r="DA29" s="456"/>
      <c r="DB29" s="456"/>
      <c r="DC29" s="456"/>
      <c r="DD29" s="456"/>
      <c r="DE29" s="456"/>
      <c r="DF29" s="456"/>
      <c r="DG29" s="456"/>
      <c r="DH29" s="456"/>
      <c r="DI29" s="456"/>
      <c r="DJ29" s="16"/>
      <c r="DK29" s="16"/>
      <c r="DL29" s="456"/>
      <c r="DM29" s="456"/>
      <c r="DN29" s="456"/>
      <c r="DO29" s="456"/>
      <c r="DP29" s="456"/>
      <c r="DQ29" s="456"/>
      <c r="DR29" s="456"/>
      <c r="DS29" s="456"/>
      <c r="DT29" s="456"/>
      <c r="DU29" s="456"/>
      <c r="DV29" s="456"/>
      <c r="DW29" s="456"/>
      <c r="DX29" s="456"/>
      <c r="DY29" s="456"/>
      <c r="DZ29" s="456"/>
      <c r="EA29" s="456"/>
      <c r="EB29" s="456"/>
      <c r="EC29" s="456"/>
      <c r="ED29" s="505" t="s">
        <v>91</v>
      </c>
      <c r="EE29" s="505"/>
      <c r="EF29" s="505"/>
      <c r="EG29" s="505"/>
      <c r="EH29" s="328" t="s">
        <v>699</v>
      </c>
      <c r="EI29" s="328" t="s">
        <v>699</v>
      </c>
      <c r="EJ29" s="328" t="s">
        <v>699</v>
      </c>
      <c r="EK29" s="328" t="s">
        <v>699</v>
      </c>
      <c r="EL29" s="457"/>
      <c r="EM29" s="457"/>
      <c r="EN29" s="506" t="s">
        <v>87</v>
      </c>
      <c r="EO29" s="506"/>
      <c r="EP29" s="506"/>
      <c r="EQ29" s="506"/>
      <c r="ER29" s="507" t="s">
        <v>81</v>
      </c>
      <c r="ES29" s="507"/>
      <c r="ET29" s="507"/>
      <c r="EU29" s="507"/>
      <c r="EV29" s="471" t="s">
        <v>77</v>
      </c>
      <c r="EW29" s="471"/>
      <c r="EX29" s="471"/>
      <c r="EY29" s="471"/>
      <c r="EZ29" s="473" t="s">
        <v>66</v>
      </c>
      <c r="FA29" s="473"/>
      <c r="FB29" s="473"/>
      <c r="FC29" s="473"/>
      <c r="FD29" s="4" t="s">
        <v>67</v>
      </c>
      <c r="FE29" s="4"/>
      <c r="FF29" s="456"/>
      <c r="FG29" s="456"/>
      <c r="FH29" s="456"/>
      <c r="FI29" s="456"/>
      <c r="FJ29" s="456"/>
      <c r="FK29" s="456"/>
      <c r="FL29" s="456"/>
      <c r="FM29" s="456"/>
      <c r="FN29" s="456"/>
      <c r="FO29" s="456"/>
      <c r="FP29" s="456"/>
      <c r="FQ29" s="456"/>
      <c r="FR29" s="456"/>
      <c r="FS29" s="456"/>
      <c r="FT29" s="456"/>
      <c r="FU29" s="456"/>
      <c r="FV29" s="456"/>
      <c r="FW29" s="456"/>
      <c r="FX29" s="456"/>
      <c r="FY29" s="456"/>
      <c r="FZ29" s="456"/>
      <c r="GA29" s="456"/>
      <c r="GB29" s="456"/>
      <c r="GC29" s="456"/>
      <c r="GD29" s="456"/>
      <c r="GE29" s="456"/>
      <c r="GF29" s="456"/>
      <c r="GG29" s="456"/>
      <c r="GH29" s="456"/>
      <c r="GI29" s="456"/>
      <c r="GJ29" s="457"/>
      <c r="GK29" s="457"/>
      <c r="GL29" s="456"/>
      <c r="GM29" s="456"/>
      <c r="GN29" s="456"/>
      <c r="GO29" s="456"/>
      <c r="GP29" s="456"/>
      <c r="GQ29" s="456"/>
      <c r="GR29" s="456"/>
      <c r="GS29" s="456"/>
      <c r="GT29" s="456"/>
      <c r="GU29" s="456"/>
      <c r="GV29" s="456"/>
      <c r="GW29" s="456"/>
      <c r="GX29" s="456"/>
      <c r="GY29" s="456"/>
      <c r="GZ29" s="456"/>
      <c r="HA29" s="456"/>
      <c r="HB29" s="456"/>
      <c r="HC29" s="456"/>
      <c r="HD29" s="456"/>
      <c r="HE29" s="456"/>
      <c r="HF29" s="456"/>
      <c r="HG29" s="456"/>
      <c r="HH29" s="456"/>
      <c r="HI29" s="456"/>
      <c r="HJ29" s="456"/>
      <c r="HK29" s="456"/>
      <c r="HL29" s="456"/>
      <c r="HM29" s="456"/>
      <c r="HN29" s="456"/>
      <c r="HO29" s="456"/>
      <c r="HP29" s="456"/>
      <c r="HQ29" s="456"/>
      <c r="HR29" s="456"/>
      <c r="HS29" s="456"/>
      <c r="HT29" s="456"/>
      <c r="HU29" s="456"/>
      <c r="HV29" s="456"/>
      <c r="HW29" s="456"/>
      <c r="HX29" s="456"/>
      <c r="HY29" s="456"/>
      <c r="HZ29" s="456"/>
      <c r="IA29" s="456"/>
      <c r="IB29" s="456"/>
      <c r="IC29" s="456"/>
      <c r="ID29" s="456"/>
      <c r="IE29" s="456"/>
      <c r="IF29" s="456"/>
      <c r="IG29" s="456"/>
      <c r="IH29" s="456"/>
      <c r="II29" s="456"/>
      <c r="IJ29" s="456"/>
      <c r="IK29" s="456"/>
      <c r="IL29" s="456"/>
      <c r="IM29" s="456"/>
      <c r="IN29" s="457"/>
      <c r="IO29" s="457"/>
      <c r="IP29" s="456"/>
      <c r="IQ29" s="456"/>
      <c r="IR29" s="456"/>
      <c r="IS29" s="456"/>
      <c r="IT29" s="456"/>
      <c r="IU29" s="456"/>
      <c r="IV29" s="456"/>
      <c r="IW29" s="456"/>
      <c r="IX29" s="456"/>
      <c r="IY29" s="456"/>
      <c r="IZ29" s="456"/>
      <c r="JA29" s="456"/>
      <c r="JB29" s="456"/>
      <c r="JC29" s="456"/>
      <c r="JD29" s="456"/>
      <c r="JE29" s="456"/>
      <c r="JF29" s="456"/>
      <c r="JG29" s="456"/>
      <c r="JH29" s="456"/>
      <c r="JI29" s="456"/>
      <c r="JJ29" s="456"/>
      <c r="JK29" s="456"/>
      <c r="JL29" s="456"/>
      <c r="JM29" s="456"/>
      <c r="JN29" s="456"/>
      <c r="JO29" s="456"/>
      <c r="JP29" s="456"/>
      <c r="JQ29" s="456"/>
      <c r="JR29" s="456"/>
      <c r="JS29" s="456"/>
      <c r="JT29" s="456"/>
      <c r="JU29" s="456"/>
      <c r="JV29" s="456"/>
      <c r="JW29" s="456"/>
      <c r="JX29" s="456"/>
      <c r="JY29" s="456"/>
      <c r="JZ29" s="456"/>
      <c r="KA29" s="456"/>
      <c r="KB29" s="456"/>
      <c r="KC29" s="456"/>
      <c r="KD29" s="456"/>
      <c r="KE29" s="456"/>
      <c r="KF29" s="456"/>
    </row>
    <row r="30" spans="1:292" ht="70" customHeight="1">
      <c r="A30" s="168" t="s">
        <v>513</v>
      </c>
      <c r="B30" s="325"/>
      <c r="C30" s="325"/>
      <c r="D30" s="325"/>
      <c r="E30" s="325"/>
      <c r="F30" s="331" t="s">
        <v>113</v>
      </c>
      <c r="G30" s="332" t="s">
        <v>717</v>
      </c>
      <c r="H30" s="313" t="s">
        <v>102</v>
      </c>
      <c r="I30" s="104" t="s">
        <v>54</v>
      </c>
      <c r="J30" s="156" t="s">
        <v>115</v>
      </c>
      <c r="K30" s="237"/>
      <c r="L30" s="41" t="s">
        <v>55</v>
      </c>
      <c r="M30" s="497"/>
      <c r="N30" s="143"/>
      <c r="O30" s="176"/>
      <c r="P30" s="451">
        <f t="shared" si="9"/>
        <v>46424</v>
      </c>
      <c r="Q30" s="461">
        <f>Q29+28</f>
        <v>46467</v>
      </c>
      <c r="R30" s="451">
        <v>46508</v>
      </c>
      <c r="S30" s="26"/>
      <c r="T30" s="453">
        <v>46572</v>
      </c>
      <c r="U30" s="519"/>
      <c r="V30" s="518"/>
      <c r="W30" s="209" t="s">
        <v>730</v>
      </c>
      <c r="X30" s="16"/>
      <c r="Y30" s="456"/>
      <c r="Z30" s="456"/>
      <c r="AA30" s="456"/>
      <c r="AB30" s="456"/>
      <c r="AC30" s="465"/>
      <c r="AD30" s="465"/>
      <c r="AE30" s="465"/>
      <c r="AF30" s="465"/>
      <c r="AG30" s="456"/>
      <c r="AH30" s="456"/>
      <c r="AI30" s="456"/>
      <c r="AJ30" s="457"/>
      <c r="AK30" s="457"/>
      <c r="AL30" s="456"/>
      <c r="AM30" s="465"/>
      <c r="AN30" s="465"/>
      <c r="AO30" s="465"/>
      <c r="AP30" s="456"/>
      <c r="AQ30" s="465"/>
      <c r="AR30" s="465"/>
      <c r="AS30" s="465"/>
      <c r="AT30" s="465"/>
      <c r="AU30" s="456"/>
      <c r="AV30" s="465"/>
      <c r="AW30" s="465"/>
      <c r="AX30" s="465"/>
      <c r="AY30" s="465"/>
      <c r="AZ30" s="456"/>
      <c r="BA30" s="456"/>
      <c r="BB30" s="465"/>
      <c r="BC30" s="465"/>
      <c r="BD30" s="465"/>
      <c r="BE30" s="465"/>
      <c r="BF30" s="456"/>
      <c r="BG30" s="456"/>
      <c r="BH30" s="456"/>
      <c r="BI30" s="456"/>
      <c r="BJ30" s="456"/>
      <c r="BK30" s="456"/>
      <c r="BL30" s="456"/>
      <c r="BM30" s="456"/>
      <c r="BN30" s="16"/>
      <c r="BO30" s="16"/>
      <c r="BP30" s="456"/>
      <c r="BQ30" s="456"/>
      <c r="BR30" s="456"/>
      <c r="BS30" s="456"/>
      <c r="BT30" s="456"/>
      <c r="BU30" s="456"/>
      <c r="BV30" s="456"/>
      <c r="BW30" s="456"/>
      <c r="BX30" s="456"/>
      <c r="BY30" s="456"/>
      <c r="BZ30" s="456"/>
      <c r="CA30" s="456"/>
      <c r="CB30" s="456"/>
      <c r="CC30" s="456"/>
      <c r="CD30" s="456"/>
      <c r="CE30" s="456"/>
      <c r="CF30" s="456"/>
      <c r="CG30" s="456"/>
      <c r="CH30" s="456"/>
      <c r="CI30" s="456"/>
      <c r="CJ30" s="456"/>
      <c r="CK30" s="456"/>
      <c r="CL30" s="456"/>
      <c r="CM30" s="457"/>
      <c r="CN30" s="457"/>
      <c r="CO30" s="456"/>
      <c r="CP30" s="456"/>
      <c r="CQ30" s="456"/>
      <c r="CR30" s="456"/>
      <c r="CS30" s="456"/>
      <c r="CT30" s="456"/>
      <c r="CU30" s="456"/>
      <c r="CV30" s="456"/>
      <c r="CW30" s="456"/>
      <c r="CX30" s="457"/>
      <c r="CY30" s="456"/>
      <c r="CZ30" s="456"/>
      <c r="DA30" s="456"/>
      <c r="DB30" s="456"/>
      <c r="DC30" s="456"/>
      <c r="DD30" s="456"/>
      <c r="DE30" s="456"/>
      <c r="DF30" s="456"/>
      <c r="DG30" s="456"/>
      <c r="DH30" s="456"/>
      <c r="DI30" s="456"/>
      <c r="DJ30" s="16"/>
      <c r="DK30" s="16"/>
      <c r="DL30" s="456"/>
      <c r="DM30" s="456"/>
      <c r="DN30" s="456"/>
      <c r="DO30" s="456"/>
      <c r="DP30" s="456"/>
      <c r="DQ30" s="456"/>
      <c r="DR30" s="456"/>
      <c r="DS30" s="456"/>
      <c r="DT30" s="456"/>
      <c r="DU30" s="456"/>
      <c r="DV30" s="456"/>
      <c r="DW30" s="456"/>
      <c r="DX30" s="456"/>
      <c r="DY30" s="456"/>
      <c r="DZ30" s="456"/>
      <c r="EA30" s="456"/>
      <c r="EB30" s="456"/>
      <c r="EC30" s="456"/>
      <c r="ED30" s="1" t="s">
        <v>700</v>
      </c>
      <c r="EE30" s="505"/>
      <c r="EF30" s="505"/>
      <c r="EG30" s="505"/>
      <c r="EH30" s="505"/>
      <c r="EI30" s="505"/>
      <c r="EJ30" s="505"/>
      <c r="EK30" s="505"/>
      <c r="EL30" s="457"/>
      <c r="EM30" s="457"/>
      <c r="EN30" s="505"/>
      <c r="EO30" s="505"/>
      <c r="EP30" s="506" t="s">
        <v>87</v>
      </c>
      <c r="EQ30" s="506"/>
      <c r="ER30" s="506"/>
      <c r="ES30" s="506"/>
      <c r="ET30" s="507" t="s">
        <v>81</v>
      </c>
      <c r="EU30" s="507"/>
      <c r="EV30" s="507"/>
      <c r="EW30" s="507"/>
      <c r="EX30" s="471" t="s">
        <v>77</v>
      </c>
      <c r="EY30" s="471"/>
      <c r="EZ30" s="471"/>
      <c r="FA30" s="471"/>
      <c r="FB30" s="473" t="s">
        <v>66</v>
      </c>
      <c r="FC30" s="473"/>
      <c r="FD30" s="473"/>
      <c r="FE30" s="473"/>
      <c r="FF30" s="4" t="s">
        <v>67</v>
      </c>
      <c r="FG30" s="4"/>
      <c r="FH30" s="456"/>
      <c r="FI30" s="456"/>
      <c r="FJ30" s="456"/>
      <c r="FK30" s="456"/>
      <c r="FL30" s="456"/>
      <c r="FM30" s="456"/>
      <c r="FN30" s="456"/>
      <c r="FO30" s="456"/>
      <c r="FP30" s="456"/>
      <c r="FQ30" s="456"/>
      <c r="FR30" s="456"/>
      <c r="FS30" s="456"/>
      <c r="FT30" s="456"/>
      <c r="FU30" s="456"/>
      <c r="FV30" s="456"/>
      <c r="FW30" s="456"/>
      <c r="FX30" s="456"/>
      <c r="FY30" s="456"/>
      <c r="FZ30" s="456"/>
      <c r="GA30" s="456"/>
      <c r="GB30" s="456"/>
      <c r="GC30" s="456"/>
      <c r="GD30" s="456"/>
      <c r="GE30" s="456"/>
      <c r="GF30" s="456"/>
      <c r="GG30" s="456"/>
      <c r="GH30" s="456"/>
      <c r="GI30" s="456"/>
      <c r="GJ30" s="457"/>
      <c r="GK30" s="457"/>
      <c r="GL30" s="456"/>
      <c r="GM30" s="456"/>
      <c r="GN30" s="456"/>
      <c r="GO30" s="456"/>
      <c r="GP30" s="456"/>
      <c r="GQ30" s="456"/>
      <c r="GR30" s="456"/>
      <c r="GS30" s="456"/>
      <c r="GT30" s="456"/>
      <c r="GU30" s="456"/>
      <c r="GV30" s="456"/>
      <c r="GW30" s="456"/>
      <c r="GX30" s="456"/>
      <c r="GY30" s="456"/>
      <c r="GZ30" s="456"/>
      <c r="HA30" s="456"/>
      <c r="HB30" s="456"/>
      <c r="HC30" s="456"/>
      <c r="HD30" s="456"/>
      <c r="HE30" s="456"/>
      <c r="HF30" s="456"/>
      <c r="HG30" s="456"/>
      <c r="HH30" s="456"/>
      <c r="HI30" s="456"/>
      <c r="HJ30" s="456"/>
      <c r="HK30" s="456"/>
      <c r="HL30" s="456"/>
      <c r="HM30" s="456"/>
      <c r="HN30" s="456"/>
      <c r="HO30" s="456"/>
      <c r="HP30" s="456"/>
      <c r="HQ30" s="456"/>
      <c r="HR30" s="456"/>
      <c r="HS30" s="456"/>
      <c r="HT30" s="456"/>
      <c r="HU30" s="456"/>
      <c r="HV30" s="456"/>
      <c r="HW30" s="456"/>
      <c r="HX30" s="456"/>
      <c r="HY30" s="456"/>
      <c r="HZ30" s="456"/>
      <c r="IA30" s="456"/>
      <c r="IB30" s="456"/>
      <c r="IC30" s="456"/>
      <c r="ID30" s="456"/>
      <c r="IE30" s="456"/>
      <c r="IF30" s="456"/>
      <c r="IG30" s="456"/>
      <c r="IH30" s="456"/>
      <c r="II30" s="456"/>
      <c r="IJ30" s="456"/>
      <c r="IK30" s="456"/>
      <c r="IL30" s="456"/>
      <c r="IM30" s="456"/>
      <c r="IN30" s="457"/>
      <c r="IO30" s="457"/>
      <c r="IP30" s="456"/>
      <c r="IQ30" s="456"/>
      <c r="IR30" s="456"/>
      <c r="IS30" s="456"/>
      <c r="IT30" s="456"/>
      <c r="IU30" s="456"/>
      <c r="IV30" s="456"/>
      <c r="IW30" s="456"/>
      <c r="IX30" s="456"/>
      <c r="IY30" s="456"/>
      <c r="IZ30" s="456"/>
      <c r="JA30" s="456"/>
      <c r="JB30" s="456"/>
      <c r="JC30" s="456"/>
      <c r="JD30" s="456"/>
      <c r="JE30" s="456"/>
      <c r="JF30" s="456"/>
      <c r="JG30" s="456"/>
      <c r="JH30" s="456"/>
      <c r="JI30" s="456"/>
      <c r="JJ30" s="456"/>
      <c r="JK30" s="456"/>
      <c r="JL30" s="456"/>
      <c r="JM30" s="456"/>
      <c r="JN30" s="456"/>
      <c r="JO30" s="456"/>
      <c r="JP30" s="456"/>
      <c r="JQ30" s="456"/>
      <c r="JR30" s="456"/>
      <c r="JS30" s="456"/>
      <c r="JT30" s="456"/>
      <c r="JU30" s="456"/>
      <c r="JV30" s="456"/>
      <c r="JW30" s="456"/>
      <c r="JX30" s="456"/>
      <c r="JY30" s="456"/>
      <c r="JZ30" s="456"/>
      <c r="KA30" s="456"/>
      <c r="KB30" s="456"/>
      <c r="KC30" s="456"/>
      <c r="KD30" s="456"/>
      <c r="KE30" s="456"/>
      <c r="KF30" s="456"/>
    </row>
    <row r="31" spans="1:292" ht="70" customHeight="1">
      <c r="A31" s="168" t="s">
        <v>692</v>
      </c>
      <c r="B31" s="325"/>
      <c r="C31" s="325"/>
      <c r="D31" s="325"/>
      <c r="E31" s="325"/>
      <c r="F31" s="331" t="s">
        <v>113</v>
      </c>
      <c r="G31" s="330" t="s">
        <v>693</v>
      </c>
      <c r="H31" s="313" t="s">
        <v>102</v>
      </c>
      <c r="I31" s="104" t="s">
        <v>54</v>
      </c>
      <c r="J31" s="156" t="s">
        <v>115</v>
      </c>
      <c r="K31" s="237"/>
      <c r="L31" s="41" t="s">
        <v>55</v>
      </c>
      <c r="M31" s="497"/>
      <c r="N31" s="143"/>
      <c r="O31" s="176"/>
      <c r="P31" s="451">
        <v>46453</v>
      </c>
      <c r="Q31" s="461">
        <f t="shared" ref="Q31:Q36" si="10">Q30+28</f>
        <v>46495</v>
      </c>
      <c r="R31" s="451">
        <f t="shared" si="7"/>
        <v>46536</v>
      </c>
      <c r="S31" s="26"/>
      <c r="T31" s="453">
        <f t="shared" si="4"/>
        <v>46600</v>
      </c>
      <c r="U31" s="519"/>
      <c r="V31" s="518"/>
      <c r="W31" s="209" t="s">
        <v>730</v>
      </c>
      <c r="X31" s="16"/>
      <c r="Y31" s="456"/>
      <c r="Z31" s="456"/>
      <c r="AA31" s="456"/>
      <c r="AB31" s="456"/>
      <c r="AC31" s="465"/>
      <c r="AD31" s="465"/>
      <c r="AE31" s="465"/>
      <c r="AF31" s="465"/>
      <c r="AG31" s="456"/>
      <c r="AH31" s="456"/>
      <c r="AI31" s="456"/>
      <c r="AJ31" s="457"/>
      <c r="AK31" s="457"/>
      <c r="AL31" s="456"/>
      <c r="AM31" s="465"/>
      <c r="AN31" s="465"/>
      <c r="AO31" s="465"/>
      <c r="AP31" s="456"/>
      <c r="AQ31" s="465"/>
      <c r="AR31" s="465"/>
      <c r="AS31" s="465"/>
      <c r="AT31" s="465"/>
      <c r="AU31" s="456"/>
      <c r="AV31" s="465"/>
      <c r="AW31" s="465"/>
      <c r="AX31" s="465"/>
      <c r="AY31" s="465"/>
      <c r="AZ31" s="456"/>
      <c r="BA31" s="456"/>
      <c r="BB31" s="465"/>
      <c r="BC31" s="465"/>
      <c r="BD31" s="465"/>
      <c r="BE31" s="465"/>
      <c r="BF31" s="456"/>
      <c r="BG31" s="456"/>
      <c r="BH31" s="456"/>
      <c r="BI31" s="456"/>
      <c r="BJ31" s="456"/>
      <c r="BK31" s="456"/>
      <c r="BL31" s="456"/>
      <c r="BM31" s="456"/>
      <c r="BN31" s="16"/>
      <c r="BO31" s="16"/>
      <c r="BP31" s="456"/>
      <c r="BQ31" s="456"/>
      <c r="BR31" s="456"/>
      <c r="BS31" s="456"/>
      <c r="BT31" s="456"/>
      <c r="BU31" s="456"/>
      <c r="BV31" s="456"/>
      <c r="BW31" s="456"/>
      <c r="BX31" s="456"/>
      <c r="BY31" s="456"/>
      <c r="BZ31" s="456"/>
      <c r="CA31" s="456"/>
      <c r="CB31" s="456"/>
      <c r="CC31" s="456"/>
      <c r="CD31" s="456"/>
      <c r="CE31" s="456"/>
      <c r="CF31" s="456"/>
      <c r="CG31" s="456"/>
      <c r="CH31" s="456"/>
      <c r="CI31" s="456"/>
      <c r="CJ31" s="456"/>
      <c r="CK31" s="456"/>
      <c r="CL31" s="456"/>
      <c r="CM31" s="457"/>
      <c r="CN31" s="457"/>
      <c r="CO31" s="456"/>
      <c r="CP31" s="456"/>
      <c r="CQ31" s="456"/>
      <c r="CR31" s="456"/>
      <c r="CS31" s="456"/>
      <c r="CT31" s="456"/>
      <c r="CU31" s="456"/>
      <c r="CV31" s="456"/>
      <c r="CW31" s="456"/>
      <c r="CX31" s="457"/>
      <c r="CY31" s="456"/>
      <c r="CZ31" s="456"/>
      <c r="DA31" s="456"/>
      <c r="DB31" s="456"/>
      <c r="DC31" s="456"/>
      <c r="DD31" s="456"/>
      <c r="DE31" s="456"/>
      <c r="DF31" s="456"/>
      <c r="DG31" s="456"/>
      <c r="DH31" s="456"/>
      <c r="DI31" s="456"/>
      <c r="DJ31" s="16"/>
      <c r="DK31" s="16"/>
      <c r="DL31" s="456"/>
      <c r="DM31" s="456"/>
      <c r="DN31" s="456"/>
      <c r="DO31" s="456"/>
      <c r="DP31" s="456"/>
      <c r="DQ31" s="456"/>
      <c r="DR31" s="456"/>
      <c r="DS31" s="456"/>
      <c r="DT31" s="456"/>
      <c r="DU31" s="456"/>
      <c r="DV31" s="456"/>
      <c r="DW31" s="456"/>
      <c r="DX31" s="456"/>
      <c r="DY31" s="456"/>
      <c r="DZ31" s="456"/>
      <c r="EA31" s="456"/>
      <c r="EB31" s="456"/>
      <c r="EC31" s="456"/>
      <c r="ED31" s="456"/>
      <c r="EE31" s="456"/>
      <c r="EF31" s="456"/>
      <c r="EG31" s="456" t="s">
        <v>224</v>
      </c>
      <c r="EH31" s="456"/>
      <c r="EI31" s="456"/>
      <c r="EJ31" s="456"/>
      <c r="EK31" s="456"/>
      <c r="EL31" s="457"/>
      <c r="EM31" s="457"/>
      <c r="EN31" s="456"/>
      <c r="EO31" s="456"/>
      <c r="EP31" s="505" t="s">
        <v>91</v>
      </c>
      <c r="EQ31" s="505"/>
      <c r="ER31" s="505"/>
      <c r="ES31" s="505"/>
      <c r="ET31" s="506" t="s">
        <v>87</v>
      </c>
      <c r="EU31" s="506"/>
      <c r="EV31" s="506"/>
      <c r="EW31" s="506"/>
      <c r="EX31" s="507" t="s">
        <v>81</v>
      </c>
      <c r="EY31" s="507"/>
      <c r="EZ31" s="507"/>
      <c r="FA31" s="507"/>
      <c r="FB31" s="471" t="s">
        <v>77</v>
      </c>
      <c r="FC31" s="471"/>
      <c r="FD31" s="471"/>
      <c r="FE31" s="471"/>
      <c r="FF31" s="473" t="s">
        <v>66</v>
      </c>
      <c r="FG31" s="473"/>
      <c r="FH31" s="473"/>
      <c r="FI31" s="473"/>
      <c r="FJ31" s="4" t="s">
        <v>67</v>
      </c>
      <c r="FK31" s="4"/>
      <c r="FL31" s="456"/>
      <c r="FM31" s="456"/>
      <c r="FN31" s="456"/>
      <c r="FO31" s="16"/>
      <c r="FP31" s="16"/>
      <c r="FQ31" s="456"/>
      <c r="FR31" s="456"/>
      <c r="FS31" s="456"/>
      <c r="FT31" s="456"/>
      <c r="FU31" s="456"/>
      <c r="FV31" s="456"/>
      <c r="FW31" s="456"/>
      <c r="FX31" s="456"/>
      <c r="FY31" s="456"/>
      <c r="FZ31" s="456"/>
      <c r="GA31" s="456"/>
      <c r="GB31" s="456"/>
      <c r="GC31" s="456"/>
      <c r="GD31" s="456"/>
      <c r="GE31" s="456"/>
      <c r="GF31" s="456"/>
      <c r="GG31" s="456"/>
      <c r="GH31" s="456"/>
      <c r="GI31" s="456"/>
      <c r="GJ31" s="457"/>
      <c r="GK31" s="457"/>
      <c r="GL31" s="456"/>
      <c r="GM31" s="456"/>
      <c r="GN31" s="456"/>
      <c r="GO31" s="456"/>
      <c r="GP31" s="456"/>
      <c r="GQ31" s="456"/>
      <c r="GR31" s="456"/>
      <c r="GS31" s="456"/>
      <c r="GT31" s="456"/>
      <c r="GU31" s="456"/>
      <c r="GV31" s="456"/>
      <c r="GW31" s="456"/>
      <c r="GX31" s="456"/>
      <c r="GY31" s="456"/>
      <c r="GZ31" s="456"/>
      <c r="HA31" s="456"/>
      <c r="HB31" s="456"/>
      <c r="HC31" s="456"/>
      <c r="HD31" s="456"/>
      <c r="HE31" s="456"/>
      <c r="HF31" s="456"/>
      <c r="HG31" s="456"/>
      <c r="HH31" s="456"/>
      <c r="HI31" s="456"/>
      <c r="HJ31" s="456"/>
      <c r="HK31" s="456"/>
      <c r="HL31" s="456"/>
      <c r="HM31" s="456"/>
      <c r="HN31" s="456"/>
      <c r="HO31" s="456"/>
      <c r="HP31" s="456"/>
      <c r="HQ31" s="456"/>
      <c r="HR31" s="456"/>
      <c r="HS31" s="456"/>
      <c r="HT31" s="456"/>
      <c r="HU31" s="456"/>
      <c r="HV31" s="456"/>
      <c r="HW31" s="456"/>
      <c r="HX31" s="456"/>
      <c r="HY31" s="456"/>
      <c r="HZ31" s="456"/>
      <c r="IA31" s="456"/>
      <c r="IB31" s="456"/>
      <c r="IC31" s="456"/>
      <c r="ID31" s="456"/>
      <c r="IE31" s="456"/>
      <c r="IF31" s="456"/>
      <c r="IG31" s="456"/>
      <c r="IH31" s="456"/>
      <c r="II31" s="456"/>
      <c r="IJ31" s="456"/>
      <c r="IK31" s="456"/>
      <c r="IL31" s="456"/>
      <c r="IM31" s="456"/>
      <c r="IN31" s="457"/>
      <c r="IO31" s="457"/>
      <c r="IP31" s="456"/>
      <c r="IQ31" s="456"/>
      <c r="IR31" s="456"/>
      <c r="IS31" s="456"/>
      <c r="IT31" s="456"/>
      <c r="IU31" s="456"/>
      <c r="IV31" s="456"/>
      <c r="IW31" s="456"/>
      <c r="IX31" s="456"/>
      <c r="IY31" s="456"/>
      <c r="IZ31" s="456"/>
      <c r="JA31" s="456"/>
      <c r="JB31" s="456"/>
      <c r="JC31" s="456"/>
      <c r="JD31" s="456"/>
      <c r="JE31" s="456"/>
      <c r="JF31" s="456"/>
      <c r="JG31" s="456"/>
      <c r="JH31" s="456"/>
      <c r="JI31" s="456"/>
      <c r="JJ31" s="456"/>
      <c r="JK31" s="456"/>
      <c r="JL31" s="456"/>
      <c r="JM31" s="456"/>
      <c r="JN31" s="456"/>
      <c r="JO31" s="456"/>
      <c r="JP31" s="456"/>
      <c r="JQ31" s="456"/>
      <c r="JR31" s="456"/>
      <c r="JS31" s="456"/>
      <c r="JT31" s="456"/>
      <c r="JU31" s="456"/>
      <c r="JV31" s="456"/>
      <c r="JW31" s="456"/>
      <c r="JX31" s="456"/>
      <c r="JY31" s="456"/>
      <c r="JZ31" s="456"/>
      <c r="KA31" s="456"/>
      <c r="KB31" s="456"/>
      <c r="KC31" s="456"/>
      <c r="KD31" s="456"/>
      <c r="KE31" s="456"/>
      <c r="KF31" s="456"/>
    </row>
    <row r="32" spans="1:292" ht="70" customHeight="1">
      <c r="A32" s="168" t="s">
        <v>527</v>
      </c>
      <c r="B32" s="325"/>
      <c r="C32" s="325"/>
      <c r="D32" s="325"/>
      <c r="E32" s="325"/>
      <c r="F32" s="331" t="s">
        <v>113</v>
      </c>
      <c r="G32" s="330" t="s">
        <v>694</v>
      </c>
      <c r="H32" s="313" t="s">
        <v>102</v>
      </c>
      <c r="I32" s="104" t="s">
        <v>54</v>
      </c>
      <c r="J32" s="156" t="s">
        <v>115</v>
      </c>
      <c r="K32" s="237"/>
      <c r="L32" s="41" t="s">
        <v>55</v>
      </c>
      <c r="M32" s="497"/>
      <c r="N32" s="143"/>
      <c r="O32" s="176"/>
      <c r="P32" s="451">
        <f t="shared" si="9"/>
        <v>46481</v>
      </c>
      <c r="Q32" s="461">
        <f t="shared" si="10"/>
        <v>46523</v>
      </c>
      <c r="R32" s="451">
        <f t="shared" si="7"/>
        <v>46564</v>
      </c>
      <c r="S32" s="26"/>
      <c r="T32" s="453">
        <f t="shared" si="4"/>
        <v>46628</v>
      </c>
      <c r="U32" s="519"/>
      <c r="V32" s="518"/>
      <c r="W32" s="209" t="s">
        <v>730</v>
      </c>
      <c r="X32" s="16"/>
      <c r="Y32" s="456"/>
      <c r="Z32" s="456"/>
      <c r="AA32" s="456"/>
      <c r="AB32" s="456"/>
      <c r="AC32" s="465"/>
      <c r="AD32" s="465"/>
      <c r="AE32" s="465"/>
      <c r="AF32" s="465"/>
      <c r="AG32" s="456"/>
      <c r="AH32" s="456"/>
      <c r="AI32" s="456"/>
      <c r="AJ32" s="457"/>
      <c r="AK32" s="457"/>
      <c r="AL32" s="456"/>
      <c r="AM32" s="465"/>
      <c r="AN32" s="465"/>
      <c r="AO32" s="465"/>
      <c r="AP32" s="456"/>
      <c r="AQ32" s="465"/>
      <c r="AR32" s="465"/>
      <c r="AS32" s="465"/>
      <c r="AT32" s="465"/>
      <c r="AU32" s="456"/>
      <c r="AV32" s="465"/>
      <c r="AW32" s="465"/>
      <c r="AX32" s="465"/>
      <c r="AY32" s="465"/>
      <c r="AZ32" s="456"/>
      <c r="BA32" s="456"/>
      <c r="BB32" s="465"/>
      <c r="BC32" s="465"/>
      <c r="BD32" s="465"/>
      <c r="BE32" s="465"/>
      <c r="BF32" s="456"/>
      <c r="BG32" s="456"/>
      <c r="BH32" s="456"/>
      <c r="BI32" s="456"/>
      <c r="BJ32" s="456"/>
      <c r="BK32" s="456"/>
      <c r="BL32" s="456"/>
      <c r="BM32" s="456"/>
      <c r="BN32" s="16"/>
      <c r="BO32" s="16"/>
      <c r="BP32" s="456"/>
      <c r="BQ32" s="456"/>
      <c r="BR32" s="456"/>
      <c r="BS32" s="456"/>
      <c r="BT32" s="456"/>
      <c r="BU32" s="456"/>
      <c r="BV32" s="456"/>
      <c r="BW32" s="456"/>
      <c r="BX32" s="456"/>
      <c r="BY32" s="456"/>
      <c r="BZ32" s="456"/>
      <c r="CA32" s="456"/>
      <c r="CB32" s="456"/>
      <c r="CC32" s="456"/>
      <c r="CD32" s="456"/>
      <c r="CE32" s="456"/>
      <c r="CF32" s="456"/>
      <c r="CG32" s="456"/>
      <c r="CH32" s="456"/>
      <c r="CI32" s="456"/>
      <c r="CJ32" s="456"/>
      <c r="CK32" s="456"/>
      <c r="CL32" s="456"/>
      <c r="CM32" s="457"/>
      <c r="CN32" s="457"/>
      <c r="CO32" s="456"/>
      <c r="CP32" s="456"/>
      <c r="CQ32" s="456"/>
      <c r="CR32" s="456"/>
      <c r="CS32" s="456"/>
      <c r="CT32" s="456"/>
      <c r="CU32" s="456"/>
      <c r="CV32" s="456"/>
      <c r="CW32" s="456"/>
      <c r="CX32" s="457"/>
      <c r="CY32" s="456"/>
      <c r="CZ32" s="456"/>
      <c r="DA32" s="456"/>
      <c r="DB32" s="456"/>
      <c r="DC32" s="456"/>
      <c r="DD32" s="456"/>
      <c r="DE32" s="456"/>
      <c r="DF32" s="456"/>
      <c r="DG32" s="456"/>
      <c r="DH32" s="456"/>
      <c r="DI32" s="456"/>
      <c r="DJ32" s="16"/>
      <c r="DK32" s="16"/>
      <c r="DL32" s="456"/>
      <c r="DM32" s="456"/>
      <c r="DN32" s="456"/>
      <c r="DO32" s="456"/>
      <c r="DP32" s="456"/>
      <c r="DQ32" s="456"/>
      <c r="DR32" s="456"/>
      <c r="DS32" s="456"/>
      <c r="DT32" s="456"/>
      <c r="DU32" s="456"/>
      <c r="DV32" s="456"/>
      <c r="DW32" s="456"/>
      <c r="DX32" s="456"/>
      <c r="DY32" s="456"/>
      <c r="DZ32" s="456"/>
      <c r="EA32" s="456"/>
      <c r="EB32" s="456"/>
      <c r="EC32" s="456"/>
      <c r="ED32" s="456"/>
      <c r="EE32" s="456"/>
      <c r="EF32" s="456"/>
      <c r="EG32" s="456"/>
      <c r="EH32" s="456"/>
      <c r="EI32" s="456"/>
      <c r="EJ32" s="456"/>
      <c r="EK32" s="456"/>
      <c r="EL32" s="457"/>
      <c r="EM32" s="457"/>
      <c r="EN32" s="456"/>
      <c r="EO32" s="456"/>
      <c r="EP32" s="456"/>
      <c r="EQ32" s="456"/>
      <c r="ER32" s="456"/>
      <c r="ES32" s="456"/>
      <c r="ET32" s="505" t="s">
        <v>91</v>
      </c>
      <c r="EU32" s="505"/>
      <c r="EV32" s="505"/>
      <c r="EW32" s="505"/>
      <c r="EX32" s="506" t="s">
        <v>87</v>
      </c>
      <c r="EY32" s="506"/>
      <c r="EZ32" s="506"/>
      <c r="FA32" s="506"/>
      <c r="FB32" s="507" t="s">
        <v>81</v>
      </c>
      <c r="FC32" s="507"/>
      <c r="FD32" s="507"/>
      <c r="FE32" s="507"/>
      <c r="FF32" s="471" t="s">
        <v>77</v>
      </c>
      <c r="FG32" s="471"/>
      <c r="FH32" s="471"/>
      <c r="FI32" s="471"/>
      <c r="FJ32" s="473" t="s">
        <v>66</v>
      </c>
      <c r="FK32" s="473"/>
      <c r="FL32" s="473"/>
      <c r="FM32" s="473"/>
      <c r="FN32" s="4" t="s">
        <v>67</v>
      </c>
      <c r="FO32" s="4"/>
      <c r="FP32" s="456"/>
      <c r="FQ32" s="456"/>
      <c r="FR32" s="456"/>
      <c r="FS32" s="456"/>
      <c r="FT32" s="456"/>
      <c r="FU32" s="456"/>
      <c r="FV32" s="456"/>
      <c r="FW32" s="456"/>
      <c r="FX32" s="456"/>
      <c r="FY32" s="456"/>
      <c r="FZ32" s="456"/>
      <c r="GA32" s="456"/>
      <c r="GB32" s="456"/>
      <c r="GC32" s="456"/>
      <c r="GD32" s="456"/>
      <c r="GE32" s="456"/>
      <c r="GF32" s="456"/>
      <c r="GG32" s="456"/>
      <c r="GH32" s="456"/>
      <c r="GI32" s="456"/>
      <c r="GJ32" s="457"/>
      <c r="GK32" s="457"/>
      <c r="GL32" s="456"/>
      <c r="GM32" s="456"/>
      <c r="GN32" s="456"/>
      <c r="GO32" s="456"/>
      <c r="GP32" s="456"/>
      <c r="GQ32" s="456"/>
      <c r="GR32" s="456"/>
      <c r="GS32" s="456"/>
      <c r="GT32" s="456"/>
      <c r="GU32" s="456"/>
      <c r="GV32" s="456"/>
      <c r="GW32" s="456"/>
      <c r="GX32" s="456"/>
      <c r="GY32" s="456"/>
      <c r="GZ32" s="456"/>
      <c r="HA32" s="456"/>
      <c r="HB32" s="456"/>
      <c r="HC32" s="456"/>
      <c r="HD32" s="456"/>
      <c r="HE32" s="456"/>
      <c r="HF32" s="456"/>
      <c r="HG32" s="456"/>
      <c r="HH32" s="456"/>
      <c r="HI32" s="456"/>
      <c r="HJ32" s="456"/>
      <c r="HK32" s="456"/>
      <c r="HL32" s="456"/>
      <c r="HM32" s="456"/>
      <c r="HN32" s="456"/>
      <c r="HO32" s="456"/>
      <c r="HP32" s="456"/>
      <c r="HQ32" s="456"/>
      <c r="HR32" s="456"/>
      <c r="HS32" s="456"/>
      <c r="HT32" s="456"/>
      <c r="HU32" s="456"/>
      <c r="HV32" s="456"/>
      <c r="HW32" s="456"/>
      <c r="HX32" s="456"/>
      <c r="HY32" s="456"/>
      <c r="HZ32" s="456"/>
      <c r="IA32" s="456"/>
      <c r="IB32" s="456"/>
      <c r="IC32" s="456"/>
      <c r="ID32" s="456"/>
      <c r="IE32" s="456"/>
      <c r="IF32" s="456"/>
      <c r="IG32" s="456"/>
      <c r="IH32" s="456"/>
      <c r="II32" s="456"/>
      <c r="IJ32" s="456"/>
      <c r="IK32" s="456"/>
      <c r="IL32" s="456"/>
      <c r="IM32" s="456"/>
      <c r="IN32" s="457"/>
      <c r="IO32" s="457"/>
      <c r="IP32" s="456"/>
      <c r="IQ32" s="456"/>
      <c r="IR32" s="456"/>
      <c r="IS32" s="456"/>
      <c r="IT32" s="456"/>
      <c r="IU32" s="456"/>
      <c r="IV32" s="456"/>
      <c r="IW32" s="456"/>
      <c r="IX32" s="456"/>
      <c r="IY32" s="456"/>
      <c r="IZ32" s="456"/>
      <c r="JA32" s="456"/>
      <c r="JB32" s="456"/>
      <c r="JC32" s="456"/>
      <c r="JD32" s="456"/>
      <c r="JE32" s="456"/>
      <c r="JF32" s="456"/>
      <c r="JG32" s="456"/>
      <c r="JH32" s="456"/>
      <c r="JI32" s="456"/>
      <c r="JJ32" s="456"/>
      <c r="JK32" s="456"/>
      <c r="JL32" s="456"/>
      <c r="JM32" s="456"/>
      <c r="JN32" s="456"/>
      <c r="JO32" s="456"/>
      <c r="JP32" s="456"/>
      <c r="JQ32" s="456"/>
      <c r="JR32" s="456"/>
      <c r="JS32" s="456"/>
      <c r="JT32" s="456"/>
      <c r="JU32" s="456"/>
      <c r="JV32" s="456"/>
      <c r="JW32" s="456"/>
      <c r="JX32" s="456"/>
      <c r="JY32" s="456"/>
      <c r="JZ32" s="456"/>
      <c r="KA32" s="456"/>
      <c r="KB32" s="456"/>
      <c r="KC32" s="456"/>
      <c r="KD32" s="456"/>
      <c r="KE32" s="456"/>
      <c r="KF32" s="456"/>
    </row>
    <row r="33" spans="1:292" ht="70" customHeight="1">
      <c r="A33" s="168" t="s">
        <v>525</v>
      </c>
      <c r="B33" s="325"/>
      <c r="C33" s="325"/>
      <c r="D33" s="325"/>
      <c r="E33" s="325"/>
      <c r="F33" s="331" t="s">
        <v>113</v>
      </c>
      <c r="G33" s="332" t="s">
        <v>718</v>
      </c>
      <c r="H33" s="313" t="s">
        <v>102</v>
      </c>
      <c r="I33" s="104" t="s">
        <v>54</v>
      </c>
      <c r="J33" s="156" t="s">
        <v>115</v>
      </c>
      <c r="K33" s="237"/>
      <c r="L33" s="41" t="s">
        <v>55</v>
      </c>
      <c r="M33" s="497"/>
      <c r="N33" s="143"/>
      <c r="O33" s="176"/>
      <c r="P33" s="451">
        <f t="shared" si="9"/>
        <v>46509</v>
      </c>
      <c r="Q33" s="461">
        <f t="shared" si="10"/>
        <v>46551</v>
      </c>
      <c r="R33" s="451">
        <f t="shared" si="7"/>
        <v>46592</v>
      </c>
      <c r="S33" s="26"/>
      <c r="T33" s="453">
        <f t="shared" si="4"/>
        <v>46656</v>
      </c>
      <c r="U33" s="519"/>
      <c r="V33" s="518"/>
      <c r="W33" s="209" t="s">
        <v>730</v>
      </c>
      <c r="X33" s="16"/>
      <c r="Y33" s="456"/>
      <c r="Z33" s="456"/>
      <c r="AA33" s="456"/>
      <c r="AB33" s="456"/>
      <c r="AC33" s="465"/>
      <c r="AD33" s="465"/>
      <c r="AE33" s="465"/>
      <c r="AF33" s="465"/>
      <c r="AG33" s="456"/>
      <c r="AH33" s="456"/>
      <c r="AI33" s="456"/>
      <c r="AJ33" s="457"/>
      <c r="AK33" s="457"/>
      <c r="AL33" s="456"/>
      <c r="AM33" s="465"/>
      <c r="AN33" s="465"/>
      <c r="AO33" s="465"/>
      <c r="AP33" s="456"/>
      <c r="AQ33" s="465"/>
      <c r="AR33" s="465"/>
      <c r="AS33" s="465"/>
      <c r="AT33" s="465"/>
      <c r="AU33" s="456"/>
      <c r="AV33" s="465"/>
      <c r="AW33" s="465"/>
      <c r="AX33" s="465"/>
      <c r="AY33" s="465"/>
      <c r="AZ33" s="456"/>
      <c r="BA33" s="456"/>
      <c r="BB33" s="465"/>
      <c r="BC33" s="465"/>
      <c r="BD33" s="465"/>
      <c r="BE33" s="465"/>
      <c r="BF33" s="456"/>
      <c r="BG33" s="456"/>
      <c r="BH33" s="456"/>
      <c r="BI33" s="456"/>
      <c r="BJ33" s="456"/>
      <c r="BK33" s="456"/>
      <c r="BL33" s="456"/>
      <c r="BM33" s="456"/>
      <c r="BN33" s="16"/>
      <c r="BO33" s="16"/>
      <c r="BP33" s="456"/>
      <c r="BQ33" s="456"/>
      <c r="BR33" s="456"/>
      <c r="BS33" s="456"/>
      <c r="BT33" s="456"/>
      <c r="BU33" s="456"/>
      <c r="BV33" s="456"/>
      <c r="BW33" s="456"/>
      <c r="BX33" s="456"/>
      <c r="BY33" s="456"/>
      <c r="BZ33" s="456"/>
      <c r="CA33" s="456"/>
      <c r="CB33" s="456"/>
      <c r="CC33" s="456"/>
      <c r="CD33" s="456"/>
      <c r="CE33" s="456"/>
      <c r="CF33" s="456"/>
      <c r="CG33" s="456"/>
      <c r="CH33" s="456"/>
      <c r="CI33" s="456"/>
      <c r="CJ33" s="456"/>
      <c r="CK33" s="456"/>
      <c r="CL33" s="456"/>
      <c r="CM33" s="457"/>
      <c r="CN33" s="457"/>
      <c r="CO33" s="456"/>
      <c r="CP33" s="456"/>
      <c r="CQ33" s="456"/>
      <c r="CR33" s="456"/>
      <c r="CS33" s="456"/>
      <c r="CT33" s="456"/>
      <c r="CU33" s="456"/>
      <c r="CV33" s="456"/>
      <c r="CW33" s="456"/>
      <c r="CX33" s="457"/>
      <c r="CY33" s="456"/>
      <c r="CZ33" s="456"/>
      <c r="DA33" s="456"/>
      <c r="DB33" s="456"/>
      <c r="DC33" s="456"/>
      <c r="DD33" s="456"/>
      <c r="DE33" s="456"/>
      <c r="DF33" s="456"/>
      <c r="DG33" s="456"/>
      <c r="DH33" s="456"/>
      <c r="DI33" s="456"/>
      <c r="DJ33" s="16"/>
      <c r="DK33" s="16"/>
      <c r="DL33" s="456"/>
      <c r="DM33" s="456"/>
      <c r="DN33" s="456"/>
      <c r="DO33" s="456"/>
      <c r="DP33" s="456"/>
      <c r="DQ33" s="456"/>
      <c r="DR33" s="456"/>
      <c r="DS33" s="456"/>
      <c r="DT33" s="456"/>
      <c r="DU33" s="456"/>
      <c r="DV33" s="456"/>
      <c r="DW33" s="456"/>
      <c r="DX33" s="456"/>
      <c r="DY33" s="456"/>
      <c r="DZ33" s="456"/>
      <c r="EA33" s="456"/>
      <c r="EB33" s="456"/>
      <c r="EC33" s="456"/>
      <c r="ED33" s="456"/>
      <c r="EE33" s="456"/>
      <c r="EF33" s="456"/>
      <c r="EG33" s="456"/>
      <c r="EH33" s="456"/>
      <c r="EI33" s="456"/>
      <c r="EJ33" s="456"/>
      <c r="EK33" s="456"/>
      <c r="EL33" s="457"/>
      <c r="EM33" s="457"/>
      <c r="EN33" s="456"/>
      <c r="EO33" s="456"/>
      <c r="EP33" s="456"/>
      <c r="EQ33" s="456"/>
      <c r="ER33" s="456"/>
      <c r="ES33" s="456"/>
      <c r="ET33" s="456"/>
      <c r="EU33" s="456"/>
      <c r="EV33" s="456"/>
      <c r="EW33" s="456"/>
      <c r="EX33" s="505" t="s">
        <v>91</v>
      </c>
      <c r="EY33" s="505"/>
      <c r="EZ33" s="505"/>
      <c r="FA33" s="505"/>
      <c r="FB33" s="506" t="s">
        <v>87</v>
      </c>
      <c r="FC33" s="506"/>
      <c r="FD33" s="506"/>
      <c r="FE33" s="506"/>
      <c r="FF33" s="507" t="s">
        <v>81</v>
      </c>
      <c r="FG33" s="507"/>
      <c r="FH33" s="507"/>
      <c r="FI33" s="507"/>
      <c r="FJ33" s="471" t="s">
        <v>77</v>
      </c>
      <c r="FK33" s="471"/>
      <c r="FL33" s="471"/>
      <c r="FM33" s="471"/>
      <c r="FN33" s="473" t="s">
        <v>66</v>
      </c>
      <c r="FO33" s="473"/>
      <c r="FP33" s="473"/>
      <c r="FQ33" s="473"/>
      <c r="FR33" s="4" t="s">
        <v>67</v>
      </c>
      <c r="FS33" s="4"/>
      <c r="FT33" s="456"/>
      <c r="FU33" s="456"/>
      <c r="FV33" s="456"/>
      <c r="FW33" s="456"/>
      <c r="FX33" s="456"/>
      <c r="FY33" s="456"/>
      <c r="FZ33" s="456"/>
      <c r="GA33" s="456"/>
      <c r="GB33" s="456"/>
      <c r="GC33" s="456"/>
      <c r="GD33" s="456"/>
      <c r="GE33" s="456"/>
      <c r="GF33" s="456"/>
      <c r="GG33" s="456"/>
      <c r="GH33" s="456"/>
      <c r="GI33" s="456"/>
      <c r="GJ33" s="457"/>
      <c r="GK33" s="457"/>
      <c r="GL33" s="456"/>
      <c r="GM33" s="456"/>
      <c r="GN33" s="456"/>
      <c r="GO33" s="456"/>
      <c r="GP33" s="456"/>
      <c r="GQ33" s="456"/>
      <c r="GR33" s="456"/>
      <c r="GS33" s="456"/>
      <c r="GT33" s="456"/>
      <c r="GU33" s="456"/>
      <c r="GV33" s="456"/>
      <c r="GW33" s="456"/>
      <c r="GX33" s="456"/>
      <c r="GY33" s="456"/>
      <c r="GZ33" s="456"/>
      <c r="HA33" s="456"/>
      <c r="HB33" s="456"/>
      <c r="HC33" s="456"/>
      <c r="HD33" s="456"/>
      <c r="HE33" s="456"/>
      <c r="HF33" s="456"/>
      <c r="HG33" s="456"/>
      <c r="HH33" s="456"/>
      <c r="HI33" s="456"/>
      <c r="HJ33" s="456"/>
      <c r="HK33" s="456"/>
      <c r="HL33" s="456"/>
      <c r="HM33" s="456"/>
      <c r="HN33" s="456"/>
      <c r="HO33" s="456"/>
      <c r="HP33" s="456"/>
      <c r="HQ33" s="456"/>
      <c r="HR33" s="456"/>
      <c r="HS33" s="456"/>
      <c r="HT33" s="456"/>
      <c r="HU33" s="456"/>
      <c r="HV33" s="456"/>
      <c r="HW33" s="456"/>
      <c r="HX33" s="456"/>
      <c r="HY33" s="456"/>
      <c r="HZ33" s="456"/>
      <c r="IA33" s="456"/>
      <c r="IB33" s="456"/>
      <c r="IC33" s="456"/>
      <c r="ID33" s="456"/>
      <c r="IE33" s="456"/>
      <c r="IF33" s="456"/>
      <c r="IG33" s="456"/>
      <c r="IH33" s="456"/>
      <c r="II33" s="456"/>
      <c r="IJ33" s="456"/>
      <c r="IK33" s="456"/>
      <c r="IL33" s="456"/>
      <c r="IM33" s="456"/>
      <c r="IN33" s="457"/>
      <c r="IO33" s="457"/>
      <c r="IP33" s="456"/>
      <c r="IQ33" s="456"/>
      <c r="IR33" s="456"/>
      <c r="IS33" s="456"/>
      <c r="IT33" s="456"/>
      <c r="IU33" s="456"/>
      <c r="IV33" s="456"/>
      <c r="IW33" s="456"/>
      <c r="IX33" s="456"/>
      <c r="IY33" s="456"/>
      <c r="IZ33" s="456"/>
      <c r="JA33" s="456"/>
      <c r="JB33" s="456"/>
      <c r="JC33" s="456"/>
      <c r="JD33" s="456"/>
      <c r="JE33" s="456"/>
      <c r="JF33" s="456"/>
      <c r="JG33" s="456"/>
      <c r="JH33" s="456"/>
      <c r="JI33" s="456"/>
      <c r="JJ33" s="456"/>
      <c r="JK33" s="456"/>
      <c r="JL33" s="456"/>
      <c r="JM33" s="456"/>
      <c r="JN33" s="456"/>
      <c r="JO33" s="456"/>
      <c r="JP33" s="456"/>
      <c r="JQ33" s="456"/>
      <c r="JR33" s="456"/>
      <c r="JS33" s="456"/>
      <c r="JT33" s="456"/>
      <c r="JU33" s="456"/>
      <c r="JV33" s="456"/>
      <c r="JW33" s="456"/>
      <c r="JX33" s="456"/>
      <c r="JY33" s="456"/>
      <c r="JZ33" s="456"/>
      <c r="KA33" s="456"/>
      <c r="KB33" s="456"/>
      <c r="KC33" s="456"/>
      <c r="KD33" s="456"/>
      <c r="KE33" s="456"/>
      <c r="KF33" s="456"/>
    </row>
    <row r="34" spans="1:292" ht="70" customHeight="1">
      <c r="A34" s="168" t="s">
        <v>714</v>
      </c>
      <c r="B34" s="325"/>
      <c r="C34" s="325"/>
      <c r="D34" s="325"/>
      <c r="E34" s="325"/>
      <c r="F34" s="331" t="s">
        <v>113</v>
      </c>
      <c r="G34" s="330" t="s">
        <v>716</v>
      </c>
      <c r="H34" s="313" t="s">
        <v>102</v>
      </c>
      <c r="I34" s="104" t="s">
        <v>54</v>
      </c>
      <c r="J34" s="156" t="s">
        <v>115</v>
      </c>
      <c r="K34" s="237"/>
      <c r="L34" s="41" t="s">
        <v>55</v>
      </c>
      <c r="M34" s="497"/>
      <c r="N34" s="143"/>
      <c r="O34" s="176"/>
      <c r="P34" s="451">
        <f t="shared" si="9"/>
        <v>46537</v>
      </c>
      <c r="Q34" s="461">
        <f t="shared" si="10"/>
        <v>46579</v>
      </c>
      <c r="R34" s="451">
        <f t="shared" si="7"/>
        <v>46620</v>
      </c>
      <c r="S34" s="26"/>
      <c r="T34" s="453">
        <f t="shared" si="4"/>
        <v>46684</v>
      </c>
      <c r="U34" s="519"/>
      <c r="V34" s="518"/>
      <c r="W34" s="209" t="s">
        <v>730</v>
      </c>
      <c r="X34" s="16"/>
      <c r="Y34" s="456"/>
      <c r="Z34" s="456"/>
      <c r="AA34" s="456"/>
      <c r="AB34" s="456"/>
      <c r="AC34" s="465"/>
      <c r="AD34" s="465"/>
      <c r="AE34" s="465"/>
      <c r="AF34" s="465"/>
      <c r="AG34" s="456"/>
      <c r="AH34" s="456"/>
      <c r="AI34" s="456"/>
      <c r="AJ34" s="457"/>
      <c r="AK34" s="457"/>
      <c r="AL34" s="456"/>
      <c r="AM34" s="465"/>
      <c r="AN34" s="465"/>
      <c r="AO34" s="465"/>
      <c r="AP34" s="456"/>
      <c r="AQ34" s="465"/>
      <c r="AR34" s="465"/>
      <c r="AS34" s="465"/>
      <c r="AT34" s="465"/>
      <c r="AU34" s="456"/>
      <c r="AV34" s="465"/>
      <c r="AW34" s="465"/>
      <c r="AX34" s="465"/>
      <c r="AY34" s="465"/>
      <c r="AZ34" s="456"/>
      <c r="BA34" s="456"/>
      <c r="BB34" s="465"/>
      <c r="BC34" s="465"/>
      <c r="BD34" s="465"/>
      <c r="BE34" s="465"/>
      <c r="BF34" s="456"/>
      <c r="BG34" s="456"/>
      <c r="BH34" s="456"/>
      <c r="BI34" s="456"/>
      <c r="BJ34" s="456"/>
      <c r="BK34" s="456"/>
      <c r="BL34" s="456"/>
      <c r="BM34" s="456"/>
      <c r="BN34" s="16"/>
      <c r="BO34" s="16"/>
      <c r="BP34" s="456"/>
      <c r="BQ34" s="456"/>
      <c r="BR34" s="456"/>
      <c r="BS34" s="456"/>
      <c r="BT34" s="456"/>
      <c r="BU34" s="456"/>
      <c r="BV34" s="456"/>
      <c r="BW34" s="456"/>
      <c r="BX34" s="456"/>
      <c r="BY34" s="456"/>
      <c r="BZ34" s="456"/>
      <c r="CA34" s="456"/>
      <c r="CB34" s="456"/>
      <c r="CC34" s="456"/>
      <c r="CD34" s="456"/>
      <c r="CE34" s="456"/>
      <c r="CF34" s="456"/>
      <c r="CG34" s="456"/>
      <c r="CH34" s="456"/>
      <c r="CI34" s="456"/>
      <c r="CJ34" s="456"/>
      <c r="CK34" s="456"/>
      <c r="CL34" s="456"/>
      <c r="CM34" s="457"/>
      <c r="CN34" s="457"/>
      <c r="CO34" s="456"/>
      <c r="CP34" s="456"/>
      <c r="CQ34" s="456"/>
      <c r="CR34" s="456"/>
      <c r="CS34" s="456"/>
      <c r="CT34" s="456"/>
      <c r="CU34" s="456"/>
      <c r="CV34" s="456"/>
      <c r="CW34" s="456"/>
      <c r="CX34" s="457"/>
      <c r="CY34" s="456"/>
      <c r="CZ34" s="456"/>
      <c r="DA34" s="456"/>
      <c r="DB34" s="456"/>
      <c r="DC34" s="456"/>
      <c r="DD34" s="456"/>
      <c r="DE34" s="456"/>
      <c r="DF34" s="456"/>
      <c r="DG34" s="456"/>
      <c r="DH34" s="456"/>
      <c r="DI34" s="456"/>
      <c r="DJ34" s="16"/>
      <c r="DK34" s="16"/>
      <c r="DL34" s="456"/>
      <c r="DM34" s="456"/>
      <c r="DN34" s="456"/>
      <c r="DO34" s="456"/>
      <c r="DP34" s="456"/>
      <c r="DQ34" s="456"/>
      <c r="DR34" s="456"/>
      <c r="DS34" s="456"/>
      <c r="DT34" s="456"/>
      <c r="DU34" s="456"/>
      <c r="DV34" s="456"/>
      <c r="DW34" s="456"/>
      <c r="DX34" s="456"/>
      <c r="DY34" s="456"/>
      <c r="DZ34" s="456"/>
      <c r="EA34" s="456"/>
      <c r="EB34" s="456"/>
      <c r="EC34" s="456"/>
      <c r="ED34" s="456"/>
      <c r="EE34" s="456"/>
      <c r="EF34" s="456"/>
      <c r="EG34" s="456"/>
      <c r="EH34" s="456"/>
      <c r="EI34" s="456"/>
      <c r="EJ34" s="456"/>
      <c r="EK34" s="456"/>
      <c r="EL34" s="457"/>
      <c r="EM34" s="457"/>
      <c r="EN34" s="456"/>
      <c r="EO34" s="456"/>
      <c r="EP34" s="456"/>
      <c r="EQ34" s="456"/>
      <c r="ER34" s="456"/>
      <c r="ES34" s="456"/>
      <c r="ET34" s="456"/>
      <c r="EU34" s="456"/>
      <c r="EV34" s="456"/>
      <c r="EW34" s="456"/>
      <c r="EX34" s="456"/>
      <c r="EY34" s="456"/>
      <c r="EZ34" s="456"/>
      <c r="FA34" s="456"/>
      <c r="FB34" s="505" t="s">
        <v>91</v>
      </c>
      <c r="FC34" s="505"/>
      <c r="FD34" s="505"/>
      <c r="FE34" s="505"/>
      <c r="FF34" s="506" t="s">
        <v>87</v>
      </c>
      <c r="FG34" s="506"/>
      <c r="FH34" s="506"/>
      <c r="FI34" s="506"/>
      <c r="FJ34" s="507" t="s">
        <v>81</v>
      </c>
      <c r="FK34" s="507"/>
      <c r="FL34" s="507"/>
      <c r="FM34" s="507"/>
      <c r="FN34" s="471" t="s">
        <v>77</v>
      </c>
      <c r="FO34" s="471"/>
      <c r="FP34" s="471"/>
      <c r="FQ34" s="471"/>
      <c r="FR34" s="473" t="s">
        <v>66</v>
      </c>
      <c r="FS34" s="473"/>
      <c r="FT34" s="473"/>
      <c r="FU34" s="473"/>
      <c r="FV34" s="4" t="s">
        <v>67</v>
      </c>
      <c r="FW34" s="4"/>
      <c r="FX34" s="456"/>
      <c r="FY34" s="456"/>
      <c r="FZ34" s="456"/>
      <c r="GA34" s="456"/>
      <c r="GB34" s="456"/>
      <c r="GC34" s="456"/>
      <c r="GD34" s="456"/>
      <c r="GE34" s="456"/>
      <c r="GF34" s="456"/>
      <c r="GG34" s="456"/>
      <c r="GH34" s="456"/>
      <c r="GI34" s="456"/>
      <c r="GJ34" s="457"/>
      <c r="GK34" s="457"/>
      <c r="GL34" s="456"/>
      <c r="GM34" s="456"/>
      <c r="GN34" s="456"/>
      <c r="GO34" s="456"/>
      <c r="GP34" s="456"/>
      <c r="GQ34" s="456"/>
      <c r="GR34" s="456"/>
      <c r="GS34" s="456"/>
      <c r="GT34" s="456"/>
      <c r="GU34" s="456"/>
      <c r="GV34" s="456"/>
      <c r="GW34" s="456"/>
      <c r="GX34" s="456"/>
      <c r="GY34" s="456"/>
      <c r="GZ34" s="456"/>
      <c r="HA34" s="456"/>
      <c r="HB34" s="456"/>
      <c r="HC34" s="456"/>
      <c r="HD34" s="456"/>
      <c r="HE34" s="456"/>
      <c r="HF34" s="456"/>
      <c r="HG34" s="456"/>
      <c r="HH34" s="456"/>
      <c r="HI34" s="456"/>
      <c r="HJ34" s="456"/>
      <c r="HK34" s="456"/>
      <c r="HL34" s="456"/>
      <c r="HM34" s="456"/>
      <c r="HN34" s="456"/>
      <c r="HO34" s="456"/>
      <c r="HP34" s="456"/>
      <c r="HQ34" s="456"/>
      <c r="HR34" s="456"/>
      <c r="HS34" s="456"/>
      <c r="HT34" s="456"/>
      <c r="HU34" s="456"/>
      <c r="HV34" s="456"/>
      <c r="HW34" s="456"/>
      <c r="HX34" s="456"/>
      <c r="HY34" s="456"/>
      <c r="HZ34" s="456"/>
      <c r="IA34" s="456"/>
      <c r="IB34" s="456"/>
      <c r="IC34" s="456"/>
      <c r="ID34" s="456"/>
      <c r="IE34" s="456"/>
      <c r="IF34" s="456"/>
      <c r="IG34" s="456"/>
      <c r="IH34" s="456"/>
      <c r="II34" s="456"/>
      <c r="IJ34" s="456"/>
      <c r="IK34" s="456"/>
      <c r="IL34" s="456"/>
      <c r="IM34" s="456"/>
      <c r="IN34" s="457"/>
      <c r="IO34" s="457"/>
      <c r="IP34" s="456"/>
      <c r="IQ34" s="456"/>
      <c r="IR34" s="456"/>
      <c r="IS34" s="456"/>
      <c r="IT34" s="456"/>
      <c r="IU34" s="456"/>
      <c r="IV34" s="456"/>
      <c r="IW34" s="456"/>
      <c r="IX34" s="456"/>
      <c r="IY34" s="456"/>
      <c r="IZ34" s="456"/>
      <c r="JA34" s="456"/>
      <c r="JB34" s="456"/>
      <c r="JC34" s="456"/>
      <c r="JD34" s="456"/>
      <c r="JE34" s="456"/>
      <c r="JF34" s="456"/>
      <c r="JG34" s="456"/>
      <c r="JH34" s="456"/>
      <c r="JI34" s="456"/>
      <c r="JJ34" s="456"/>
      <c r="JK34" s="456"/>
      <c r="JL34" s="456"/>
      <c r="JM34" s="456"/>
      <c r="JN34" s="456"/>
      <c r="JO34" s="456"/>
      <c r="JP34" s="456"/>
      <c r="JQ34" s="456"/>
      <c r="JR34" s="456"/>
      <c r="JS34" s="456"/>
      <c r="JT34" s="456"/>
      <c r="JU34" s="456"/>
      <c r="JV34" s="456"/>
      <c r="JW34" s="456"/>
      <c r="JX34" s="456"/>
      <c r="JY34" s="456"/>
      <c r="JZ34" s="456"/>
      <c r="KA34" s="456"/>
      <c r="KB34" s="456"/>
      <c r="KC34" s="456"/>
      <c r="KD34" s="456"/>
      <c r="KE34" s="456"/>
      <c r="KF34" s="456"/>
    </row>
    <row r="35" spans="1:292" ht="70" customHeight="1">
      <c r="A35" s="168" t="s">
        <v>715</v>
      </c>
      <c r="B35" s="325"/>
      <c r="C35" s="325"/>
      <c r="D35" s="325"/>
      <c r="E35" s="325"/>
      <c r="F35" s="331" t="s">
        <v>113</v>
      </c>
      <c r="G35" s="332" t="s">
        <v>719</v>
      </c>
      <c r="H35" s="313" t="s">
        <v>102</v>
      </c>
      <c r="I35" s="104" t="s">
        <v>54</v>
      </c>
      <c r="J35" s="156" t="s">
        <v>115</v>
      </c>
      <c r="K35" s="237"/>
      <c r="L35" s="41" t="s">
        <v>55</v>
      </c>
      <c r="M35" s="497"/>
      <c r="N35" s="143"/>
      <c r="O35" s="176"/>
      <c r="P35" s="451">
        <f t="shared" si="9"/>
        <v>46565</v>
      </c>
      <c r="Q35" s="461">
        <f t="shared" si="10"/>
        <v>46607</v>
      </c>
      <c r="R35" s="451">
        <f t="shared" si="7"/>
        <v>46648</v>
      </c>
      <c r="S35" s="26"/>
      <c r="T35" s="453">
        <f t="shared" si="4"/>
        <v>46712</v>
      </c>
      <c r="U35" s="519"/>
      <c r="V35" s="518"/>
      <c r="W35" s="209" t="s">
        <v>730</v>
      </c>
      <c r="X35" s="16"/>
      <c r="Y35" s="456"/>
      <c r="Z35" s="456"/>
      <c r="AA35" s="456"/>
      <c r="AB35" s="456"/>
      <c r="AC35" s="465"/>
      <c r="AD35" s="465"/>
      <c r="AE35" s="465"/>
      <c r="AF35" s="465"/>
      <c r="AG35" s="456"/>
      <c r="AH35" s="456"/>
      <c r="AI35" s="456"/>
      <c r="AJ35" s="457"/>
      <c r="AK35" s="457"/>
      <c r="AL35" s="456"/>
      <c r="AM35" s="465"/>
      <c r="AN35" s="465"/>
      <c r="AO35" s="465"/>
      <c r="AP35" s="456"/>
      <c r="AQ35" s="465"/>
      <c r="AR35" s="465"/>
      <c r="AS35" s="465"/>
      <c r="AT35" s="465"/>
      <c r="AU35" s="456"/>
      <c r="AV35" s="465"/>
      <c r="AW35" s="465"/>
      <c r="AX35" s="465"/>
      <c r="AY35" s="465"/>
      <c r="AZ35" s="456"/>
      <c r="BA35" s="456"/>
      <c r="BB35" s="465"/>
      <c r="BC35" s="465"/>
      <c r="BD35" s="465"/>
      <c r="BE35" s="465"/>
      <c r="BF35" s="456"/>
      <c r="BG35" s="456"/>
      <c r="BH35" s="456"/>
      <c r="BI35" s="456"/>
      <c r="BJ35" s="456"/>
      <c r="BK35" s="456"/>
      <c r="BL35" s="456"/>
      <c r="BM35" s="456"/>
      <c r="BN35" s="16"/>
      <c r="BO35" s="16"/>
      <c r="BP35" s="456"/>
      <c r="BQ35" s="456"/>
      <c r="BR35" s="456"/>
      <c r="BS35" s="456"/>
      <c r="BT35" s="456"/>
      <c r="BU35" s="456"/>
      <c r="BV35" s="456"/>
      <c r="BW35" s="456"/>
      <c r="BX35" s="456"/>
      <c r="BY35" s="456"/>
      <c r="BZ35" s="456"/>
      <c r="CA35" s="456"/>
      <c r="CB35" s="456"/>
      <c r="CC35" s="456"/>
      <c r="CD35" s="456"/>
      <c r="CE35" s="456"/>
      <c r="CF35" s="456"/>
      <c r="CG35" s="456"/>
      <c r="CH35" s="456"/>
      <c r="CI35" s="456"/>
      <c r="CJ35" s="456"/>
      <c r="CK35" s="456"/>
      <c r="CL35" s="456"/>
      <c r="CM35" s="457"/>
      <c r="CN35" s="457"/>
      <c r="CO35" s="456"/>
      <c r="CP35" s="456"/>
      <c r="CQ35" s="456"/>
      <c r="CR35" s="456"/>
      <c r="CS35" s="456"/>
      <c r="CT35" s="456"/>
      <c r="CU35" s="456"/>
      <c r="CV35" s="456"/>
      <c r="CW35" s="456"/>
      <c r="CX35" s="457"/>
      <c r="CY35" s="456"/>
      <c r="CZ35" s="456"/>
      <c r="DA35" s="456"/>
      <c r="DB35" s="456"/>
      <c r="DC35" s="456"/>
      <c r="DD35" s="456"/>
      <c r="DE35" s="456"/>
      <c r="DF35" s="456"/>
      <c r="DG35" s="456"/>
      <c r="DH35" s="456"/>
      <c r="DI35" s="456"/>
      <c r="DJ35" s="16"/>
      <c r="DK35" s="16"/>
      <c r="DL35" s="456"/>
      <c r="DM35" s="456"/>
      <c r="DN35" s="456"/>
      <c r="DO35" s="456"/>
      <c r="DP35" s="456"/>
      <c r="DQ35" s="456"/>
      <c r="DR35" s="456"/>
      <c r="DS35" s="456"/>
      <c r="DT35" s="456"/>
      <c r="DU35" s="456"/>
      <c r="DV35" s="456"/>
      <c r="DW35" s="456"/>
      <c r="DX35" s="456"/>
      <c r="DY35" s="456"/>
      <c r="DZ35" s="456"/>
      <c r="EA35" s="456"/>
      <c r="EB35" s="456"/>
      <c r="EC35" s="456"/>
      <c r="ED35" s="456"/>
      <c r="EE35" s="456"/>
      <c r="EF35" s="456"/>
      <c r="EG35" s="456"/>
      <c r="EH35" s="456"/>
      <c r="EI35" s="456"/>
      <c r="EJ35" s="456"/>
      <c r="EK35" s="456"/>
      <c r="EL35" s="457"/>
      <c r="EM35" s="457"/>
      <c r="EN35" s="456"/>
      <c r="EO35" s="456"/>
      <c r="EP35" s="456"/>
      <c r="EQ35" s="456"/>
      <c r="ER35" s="456"/>
      <c r="ES35" s="456"/>
      <c r="ET35" s="456"/>
      <c r="EU35" s="456"/>
      <c r="EV35" s="456"/>
      <c r="EW35" s="456"/>
      <c r="EX35" s="456"/>
      <c r="EY35" s="456"/>
      <c r="EZ35" s="456"/>
      <c r="FA35" s="456"/>
      <c r="FB35" s="456"/>
      <c r="FC35" s="456"/>
      <c r="FD35" s="456"/>
      <c r="FE35" s="456"/>
      <c r="FF35" s="505" t="s">
        <v>91</v>
      </c>
      <c r="FG35" s="505"/>
      <c r="FH35" s="505"/>
      <c r="FI35" s="505"/>
      <c r="FJ35" s="506" t="s">
        <v>87</v>
      </c>
      <c r="FK35" s="506"/>
      <c r="FL35" s="506"/>
      <c r="FM35" s="506"/>
      <c r="FN35" s="507" t="s">
        <v>81</v>
      </c>
      <c r="FO35" s="507"/>
      <c r="FP35" s="507"/>
      <c r="FQ35" s="507"/>
      <c r="FR35" s="471" t="s">
        <v>77</v>
      </c>
      <c r="FS35" s="471"/>
      <c r="FT35" s="471"/>
      <c r="FU35" s="471"/>
      <c r="FV35" s="473" t="s">
        <v>66</v>
      </c>
      <c r="FW35" s="473"/>
      <c r="FX35" s="473"/>
      <c r="FY35" s="473"/>
      <c r="FZ35" s="4" t="s">
        <v>67</v>
      </c>
      <c r="GA35" s="4"/>
      <c r="GB35" s="456"/>
      <c r="GC35" s="456"/>
      <c r="GD35" s="456"/>
      <c r="GE35" s="456"/>
      <c r="GF35" s="456"/>
      <c r="GG35" s="456"/>
      <c r="GH35" s="456"/>
      <c r="GI35" s="456"/>
      <c r="GJ35" s="457"/>
      <c r="GK35" s="457"/>
      <c r="GL35" s="456"/>
      <c r="GM35" s="456"/>
      <c r="GN35" s="456"/>
      <c r="GO35" s="456"/>
      <c r="GP35" s="456"/>
      <c r="GQ35" s="456"/>
      <c r="GR35" s="456"/>
      <c r="GS35" s="456"/>
      <c r="GT35" s="456"/>
      <c r="GU35" s="456"/>
      <c r="GV35" s="456"/>
      <c r="GW35" s="456"/>
      <c r="GX35" s="456"/>
      <c r="GY35" s="456"/>
      <c r="GZ35" s="456"/>
      <c r="HA35" s="456"/>
      <c r="HB35" s="456"/>
      <c r="HC35" s="456"/>
      <c r="HD35" s="456"/>
      <c r="HE35" s="456"/>
      <c r="HF35" s="456"/>
      <c r="HG35" s="456"/>
      <c r="HH35" s="456"/>
      <c r="HI35" s="456"/>
      <c r="HJ35" s="456"/>
      <c r="HK35" s="456"/>
      <c r="HL35" s="456"/>
      <c r="HM35" s="456"/>
      <c r="HN35" s="456"/>
      <c r="HO35" s="456"/>
      <c r="HP35" s="456"/>
      <c r="HQ35" s="456"/>
      <c r="HR35" s="456"/>
      <c r="HS35" s="456"/>
      <c r="HT35" s="456"/>
      <c r="HU35" s="456"/>
      <c r="HV35" s="456"/>
      <c r="HW35" s="456"/>
      <c r="HX35" s="456"/>
      <c r="HY35" s="456"/>
      <c r="HZ35" s="456"/>
      <c r="IA35" s="456"/>
      <c r="IB35" s="456"/>
      <c r="IC35" s="456"/>
      <c r="ID35" s="456"/>
      <c r="IE35" s="456"/>
      <c r="IF35" s="456"/>
      <c r="IG35" s="456"/>
      <c r="IH35" s="456"/>
      <c r="II35" s="456"/>
      <c r="IJ35" s="456"/>
      <c r="IK35" s="456"/>
      <c r="IL35" s="456"/>
      <c r="IM35" s="456"/>
      <c r="IN35" s="457"/>
      <c r="IO35" s="457"/>
      <c r="IP35" s="456"/>
      <c r="IQ35" s="456"/>
      <c r="IR35" s="456"/>
      <c r="IS35" s="456"/>
      <c r="IT35" s="456"/>
      <c r="IU35" s="456"/>
      <c r="IV35" s="456"/>
      <c r="IW35" s="456"/>
      <c r="IX35" s="456"/>
      <c r="IY35" s="456"/>
      <c r="IZ35" s="456"/>
      <c r="JA35" s="456"/>
      <c r="JB35" s="456"/>
      <c r="JC35" s="456"/>
      <c r="JD35" s="456"/>
      <c r="JE35" s="456"/>
      <c r="JF35" s="456"/>
      <c r="JG35" s="456"/>
      <c r="JH35" s="456"/>
      <c r="JI35" s="456"/>
      <c r="JJ35" s="456"/>
      <c r="JK35" s="456"/>
      <c r="JL35" s="456"/>
      <c r="JM35" s="456"/>
      <c r="JN35" s="456"/>
      <c r="JO35" s="456"/>
      <c r="JP35" s="456"/>
      <c r="JQ35" s="456"/>
      <c r="JR35" s="456"/>
      <c r="JS35" s="456"/>
      <c r="JT35" s="456"/>
      <c r="JU35" s="456"/>
      <c r="JV35" s="456"/>
      <c r="JW35" s="456"/>
      <c r="JX35" s="456"/>
      <c r="JY35" s="456"/>
      <c r="JZ35" s="456"/>
      <c r="KA35" s="456"/>
      <c r="KB35" s="456"/>
      <c r="KC35" s="456"/>
      <c r="KD35" s="456"/>
      <c r="KE35" s="456"/>
      <c r="KF35" s="456"/>
    </row>
    <row r="36" spans="1:292" ht="70" customHeight="1">
      <c r="A36" s="168" t="s">
        <v>720</v>
      </c>
      <c r="B36" s="325"/>
      <c r="C36" s="325"/>
      <c r="D36" s="325"/>
      <c r="E36" s="325"/>
      <c r="F36" s="331"/>
      <c r="G36" s="332" t="s">
        <v>721</v>
      </c>
      <c r="H36" s="313" t="s">
        <v>102</v>
      </c>
      <c r="I36" s="104" t="s">
        <v>54</v>
      </c>
      <c r="J36" s="156" t="s">
        <v>115</v>
      </c>
      <c r="K36" s="237"/>
      <c r="L36" s="41" t="s">
        <v>55</v>
      </c>
      <c r="M36" s="497"/>
      <c r="N36" s="143"/>
      <c r="O36" s="176"/>
      <c r="P36" s="451">
        <f t="shared" si="9"/>
        <v>46593</v>
      </c>
      <c r="Q36" s="451">
        <f t="shared" si="10"/>
        <v>46635</v>
      </c>
      <c r="R36" s="451">
        <f t="shared" si="7"/>
        <v>46676</v>
      </c>
      <c r="S36" s="26"/>
      <c r="T36" s="453">
        <f t="shared" si="4"/>
        <v>46740</v>
      </c>
      <c r="U36" s="519"/>
      <c r="V36" s="518"/>
      <c r="W36" s="74" t="s">
        <v>730</v>
      </c>
      <c r="X36" s="16"/>
      <c r="Y36" s="456"/>
      <c r="Z36" s="456"/>
      <c r="AA36" s="456"/>
      <c r="AB36" s="456"/>
      <c r="AC36" s="465"/>
      <c r="AD36" s="465"/>
      <c r="AE36" s="465"/>
      <c r="AF36" s="465"/>
      <c r="AG36" s="456"/>
      <c r="AH36" s="456"/>
      <c r="AI36" s="456"/>
      <c r="AJ36" s="457"/>
      <c r="AK36" s="457"/>
      <c r="AL36" s="456"/>
      <c r="AM36" s="465"/>
      <c r="AN36" s="465"/>
      <c r="AO36" s="465"/>
      <c r="AP36" s="456"/>
      <c r="AQ36" s="465"/>
      <c r="AR36" s="465"/>
      <c r="AS36" s="465"/>
      <c r="AT36" s="465"/>
      <c r="AU36" s="456"/>
      <c r="AV36" s="465"/>
      <c r="AW36" s="465"/>
      <c r="AX36" s="465"/>
      <c r="AY36" s="465"/>
      <c r="AZ36" s="456"/>
      <c r="BA36" s="456"/>
      <c r="BB36" s="465"/>
      <c r="BC36" s="465"/>
      <c r="BD36" s="465"/>
      <c r="BE36" s="465"/>
      <c r="BF36" s="456"/>
      <c r="BG36" s="456"/>
      <c r="BH36" s="456"/>
      <c r="BI36" s="456"/>
      <c r="BJ36" s="456"/>
      <c r="BK36" s="456"/>
      <c r="BL36" s="456"/>
      <c r="BM36" s="456"/>
      <c r="BN36" s="16"/>
      <c r="BO36" s="16"/>
      <c r="BP36" s="456"/>
      <c r="BQ36" s="456"/>
      <c r="BR36" s="456"/>
      <c r="BS36" s="456"/>
      <c r="BT36" s="456"/>
      <c r="BU36" s="456"/>
      <c r="BV36" s="456"/>
      <c r="BW36" s="456"/>
      <c r="BX36" s="456"/>
      <c r="BY36" s="456"/>
      <c r="BZ36" s="456"/>
      <c r="CA36" s="456"/>
      <c r="CB36" s="456"/>
      <c r="CC36" s="456"/>
      <c r="CD36" s="456"/>
      <c r="CE36" s="456"/>
      <c r="CF36" s="456"/>
      <c r="CG36" s="456"/>
      <c r="CH36" s="456"/>
      <c r="CI36" s="456"/>
      <c r="CJ36" s="456"/>
      <c r="CK36" s="456"/>
      <c r="CL36" s="456"/>
      <c r="CM36" s="457"/>
      <c r="CN36" s="457"/>
      <c r="CO36" s="456"/>
      <c r="CP36" s="456"/>
      <c r="CQ36" s="456"/>
      <c r="CR36" s="456"/>
      <c r="CS36" s="456"/>
      <c r="CT36" s="456"/>
      <c r="CU36" s="456"/>
      <c r="CV36" s="456"/>
      <c r="CW36" s="456"/>
      <c r="CX36" s="457"/>
      <c r="CY36" s="456"/>
      <c r="CZ36" s="456"/>
      <c r="DA36" s="456"/>
      <c r="DB36" s="456"/>
      <c r="DC36" s="456"/>
      <c r="DD36" s="456"/>
      <c r="DE36" s="456"/>
      <c r="DF36" s="456"/>
      <c r="DG36" s="456"/>
      <c r="DH36" s="456"/>
      <c r="DI36" s="456"/>
      <c r="DJ36" s="16"/>
      <c r="DK36" s="16"/>
      <c r="DL36" s="456"/>
      <c r="DM36" s="456"/>
      <c r="DN36" s="456"/>
      <c r="DO36" s="456"/>
      <c r="DP36" s="456"/>
      <c r="DQ36" s="456"/>
      <c r="DR36" s="456"/>
      <c r="DS36" s="456"/>
      <c r="DT36" s="456"/>
      <c r="DU36" s="456"/>
      <c r="DV36" s="456"/>
      <c r="DW36" s="456"/>
      <c r="DX36" s="456"/>
      <c r="DY36" s="456"/>
      <c r="DZ36" s="456"/>
      <c r="EA36" s="456"/>
      <c r="EB36" s="456"/>
      <c r="EC36" s="456"/>
      <c r="ED36" s="456"/>
      <c r="EE36" s="456"/>
      <c r="EF36" s="456"/>
      <c r="EG36" s="456"/>
      <c r="EH36" s="456"/>
      <c r="EI36" s="456"/>
      <c r="EJ36" s="456"/>
      <c r="EK36" s="456"/>
      <c r="EL36" s="457"/>
      <c r="EM36" s="457"/>
      <c r="EN36" s="456"/>
      <c r="EO36" s="456"/>
      <c r="EP36" s="456"/>
      <c r="EQ36" s="456"/>
      <c r="ER36" s="456"/>
      <c r="ES36" s="456"/>
      <c r="ET36" s="456"/>
      <c r="EU36" s="456"/>
      <c r="EV36" s="456"/>
      <c r="EW36" s="456"/>
      <c r="EX36" s="456"/>
      <c r="EY36" s="456"/>
      <c r="EZ36" s="456"/>
      <c r="FA36" s="456"/>
      <c r="FB36" s="456"/>
      <c r="FC36" s="456"/>
      <c r="FD36" s="456"/>
      <c r="FE36" s="456"/>
      <c r="FF36" s="456"/>
      <c r="FG36" s="456"/>
      <c r="FH36" s="456"/>
      <c r="FI36" s="456"/>
      <c r="FJ36" s="505" t="s">
        <v>91</v>
      </c>
      <c r="FK36" s="505"/>
      <c r="FL36" s="505"/>
      <c r="FM36" s="505"/>
      <c r="FN36" s="506" t="s">
        <v>87</v>
      </c>
      <c r="FO36" s="506"/>
      <c r="FP36" s="506"/>
      <c r="FQ36" s="506"/>
      <c r="FR36" s="507" t="s">
        <v>81</v>
      </c>
      <c r="FS36" s="507"/>
      <c r="FT36" s="507"/>
      <c r="FU36" s="507"/>
      <c r="FV36" s="471" t="s">
        <v>77</v>
      </c>
      <c r="FW36" s="471"/>
      <c r="FX36" s="471"/>
      <c r="FY36" s="471"/>
      <c r="FZ36" s="473" t="s">
        <v>66</v>
      </c>
      <c r="GA36" s="473"/>
      <c r="GB36" s="473"/>
      <c r="GC36" s="473"/>
      <c r="GD36" s="4" t="s">
        <v>67</v>
      </c>
      <c r="GE36" s="4"/>
      <c r="GF36" s="456"/>
      <c r="GG36" s="456"/>
      <c r="GH36" s="456"/>
      <c r="GI36" s="456"/>
      <c r="GJ36" s="457"/>
      <c r="GK36" s="457"/>
      <c r="GL36" s="456"/>
      <c r="GM36" s="456"/>
      <c r="GN36" s="456"/>
      <c r="GO36" s="456"/>
      <c r="GP36" s="456"/>
      <c r="GQ36" s="456"/>
      <c r="GR36" s="456"/>
      <c r="GS36" s="456"/>
      <c r="GT36" s="456"/>
      <c r="GU36" s="456"/>
      <c r="GV36" s="456"/>
      <c r="GW36" s="456"/>
      <c r="GX36" s="456"/>
      <c r="GY36" s="456"/>
      <c r="GZ36" s="456"/>
      <c r="HA36" s="456"/>
      <c r="HB36" s="456"/>
      <c r="HC36" s="456"/>
      <c r="HD36" s="456"/>
      <c r="HE36" s="456"/>
      <c r="HF36" s="456"/>
      <c r="HG36" s="456"/>
      <c r="HH36" s="456"/>
      <c r="HI36" s="456"/>
      <c r="HJ36" s="456"/>
      <c r="HK36" s="456"/>
      <c r="HL36" s="456"/>
      <c r="HM36" s="456"/>
      <c r="HN36" s="456"/>
      <c r="HO36" s="456"/>
      <c r="HP36" s="456"/>
      <c r="HQ36" s="456"/>
      <c r="HR36" s="456"/>
      <c r="HS36" s="456"/>
      <c r="HT36" s="456"/>
      <c r="HU36" s="456"/>
      <c r="HV36" s="456"/>
      <c r="HW36" s="456"/>
      <c r="HX36" s="456"/>
      <c r="HY36" s="456"/>
      <c r="HZ36" s="456"/>
      <c r="IA36" s="456"/>
      <c r="IB36" s="456"/>
      <c r="IC36" s="456"/>
      <c r="ID36" s="456"/>
      <c r="IE36" s="456"/>
      <c r="IF36" s="456"/>
      <c r="IG36" s="456"/>
      <c r="IH36" s="456"/>
      <c r="II36" s="456"/>
      <c r="IJ36" s="456"/>
      <c r="IK36" s="456"/>
      <c r="IL36" s="456"/>
      <c r="IM36" s="456"/>
      <c r="IN36" s="457"/>
      <c r="IO36" s="457"/>
      <c r="IP36" s="456"/>
      <c r="IQ36" s="456"/>
      <c r="IR36" s="456"/>
      <c r="IS36" s="456"/>
      <c r="IT36" s="456"/>
      <c r="IU36" s="456"/>
      <c r="IV36" s="456"/>
      <c r="IW36" s="456"/>
      <c r="IX36" s="456"/>
      <c r="IY36" s="456"/>
      <c r="IZ36" s="456"/>
      <c r="JA36" s="456"/>
      <c r="JB36" s="456"/>
      <c r="JC36" s="456"/>
      <c r="JD36" s="456"/>
      <c r="JE36" s="456"/>
      <c r="JF36" s="456"/>
      <c r="JG36" s="456"/>
      <c r="JH36" s="456"/>
      <c r="JI36" s="456"/>
      <c r="JJ36" s="456"/>
      <c r="JK36" s="456"/>
      <c r="JL36" s="456"/>
      <c r="JM36" s="456"/>
      <c r="JN36" s="456"/>
      <c r="JO36" s="456"/>
      <c r="JP36" s="456"/>
      <c r="JQ36" s="456"/>
      <c r="JR36" s="456"/>
      <c r="JS36" s="456"/>
      <c r="JT36" s="456"/>
      <c r="JU36" s="456"/>
      <c r="JV36" s="456"/>
      <c r="JW36" s="456"/>
      <c r="JX36" s="456"/>
      <c r="JY36" s="456"/>
      <c r="JZ36" s="456"/>
      <c r="KA36" s="456"/>
      <c r="KB36" s="456"/>
      <c r="KC36" s="456"/>
      <c r="KD36" s="456"/>
      <c r="KE36" s="456"/>
      <c r="KF36" s="456"/>
    </row>
    <row r="37" spans="1:292" ht="70" customHeight="1">
      <c r="A37" s="225" t="s">
        <v>118</v>
      </c>
      <c r="B37" s="224"/>
      <c r="C37" s="224"/>
      <c r="D37" s="224"/>
      <c r="E37" s="224"/>
      <c r="F37" s="333"/>
      <c r="G37" s="221"/>
      <c r="H37" s="221"/>
      <c r="I37" s="522"/>
      <c r="J37" s="523"/>
      <c r="K37" s="239"/>
      <c r="L37" s="522"/>
      <c r="M37" s="522"/>
      <c r="N37" s="222"/>
      <c r="O37" s="223"/>
      <c r="P37" s="224"/>
      <c r="Q37" s="224"/>
      <c r="R37" s="224"/>
      <c r="S37" s="224"/>
      <c r="T37" s="524"/>
      <c r="U37" s="258"/>
      <c r="V37" s="258"/>
      <c r="W37" s="226"/>
      <c r="X37" s="525"/>
      <c r="Y37" s="525"/>
      <c r="Z37" s="525"/>
      <c r="AA37" s="525"/>
      <c r="AB37" s="525"/>
      <c r="AC37" s="525"/>
      <c r="AD37" s="525"/>
      <c r="AE37" s="525"/>
      <c r="AF37" s="525"/>
      <c r="AG37" s="525"/>
      <c r="AH37" s="525"/>
      <c r="AI37" s="525"/>
      <c r="AJ37" s="525"/>
      <c r="AK37" s="525"/>
      <c r="AL37" s="525"/>
      <c r="AM37" s="525"/>
      <c r="AN37" s="525"/>
      <c r="AO37" s="525"/>
      <c r="AP37" s="525"/>
      <c r="AQ37" s="525"/>
      <c r="AR37" s="525"/>
      <c r="AS37" s="525"/>
      <c r="AT37" s="525"/>
      <c r="AU37" s="525"/>
      <c r="AV37" s="525"/>
      <c r="AW37" s="525"/>
      <c r="AX37" s="525"/>
      <c r="AY37" s="525"/>
      <c r="AZ37" s="525"/>
      <c r="BA37" s="525"/>
      <c r="BB37" s="525"/>
      <c r="BC37" s="525"/>
      <c r="BD37" s="525"/>
      <c r="BE37" s="525"/>
      <c r="BF37" s="525"/>
      <c r="BG37" s="525"/>
      <c r="BH37" s="525"/>
      <c r="BI37" s="525"/>
      <c r="BJ37" s="525"/>
      <c r="BK37" s="525"/>
      <c r="BL37" s="525"/>
      <c r="BM37" s="525"/>
      <c r="BN37" s="525"/>
      <c r="BO37" s="525"/>
      <c r="BP37" s="525"/>
      <c r="BQ37" s="525"/>
      <c r="BR37" s="525"/>
      <c r="BS37" s="525"/>
      <c r="BT37" s="525"/>
      <c r="BU37" s="525"/>
      <c r="BV37" s="525"/>
      <c r="BW37" s="525"/>
      <c r="BX37" s="525"/>
      <c r="BY37" s="525"/>
      <c r="BZ37" s="525"/>
      <c r="CA37" s="525"/>
      <c r="CB37" s="525"/>
      <c r="CC37" s="525"/>
      <c r="CD37" s="525"/>
      <c r="CE37" s="525"/>
      <c r="CF37" s="525"/>
      <c r="CG37" s="525"/>
      <c r="CH37" s="525"/>
      <c r="CI37" s="525"/>
      <c r="CJ37" s="525"/>
      <c r="CK37" s="525"/>
      <c r="CL37" s="525"/>
      <c r="CM37" s="525"/>
      <c r="CN37" s="525"/>
      <c r="CO37" s="525"/>
      <c r="CP37" s="525"/>
      <c r="CQ37" s="525"/>
      <c r="CR37" s="525"/>
      <c r="CS37" s="525"/>
      <c r="CT37" s="525"/>
      <c r="CU37" s="525"/>
      <c r="CV37" s="525"/>
      <c r="CW37" s="525"/>
      <c r="CX37" s="525"/>
      <c r="CY37" s="525"/>
      <c r="CZ37" s="525"/>
      <c r="DA37" s="525"/>
      <c r="DB37" s="525"/>
      <c r="DC37" s="525"/>
      <c r="DD37" s="525"/>
      <c r="DE37" s="525"/>
      <c r="DF37" s="525"/>
      <c r="DG37" s="525"/>
      <c r="DH37" s="525"/>
      <c r="DI37" s="525"/>
      <c r="DJ37" s="525"/>
      <c r="DK37" s="525"/>
      <c r="DL37" s="525"/>
      <c r="DM37" s="525"/>
      <c r="DN37" s="525"/>
      <c r="DO37" s="525"/>
      <c r="DP37" s="525"/>
      <c r="DQ37" s="525"/>
      <c r="DR37" s="525"/>
      <c r="DS37" s="525"/>
      <c r="DT37" s="525"/>
      <c r="DU37" s="525"/>
      <c r="DV37" s="525"/>
      <c r="DW37" s="525"/>
      <c r="DX37" s="525"/>
      <c r="DY37" s="525"/>
      <c r="DZ37" s="525"/>
      <c r="EA37" s="525"/>
      <c r="EB37" s="525"/>
      <c r="EC37" s="525"/>
      <c r="ED37" s="525"/>
      <c r="EE37" s="525"/>
      <c r="EF37" s="525"/>
      <c r="EG37" s="525"/>
      <c r="EH37" s="525"/>
      <c r="EI37" s="525"/>
      <c r="EJ37" s="525"/>
      <c r="EK37" s="525"/>
      <c r="EL37" s="525"/>
      <c r="EM37" s="525"/>
      <c r="EN37" s="525"/>
      <c r="EO37" s="525"/>
      <c r="EP37" s="525"/>
      <c r="EQ37" s="525"/>
      <c r="ER37" s="525"/>
      <c r="ES37" s="525"/>
      <c r="ET37" s="525"/>
      <c r="EU37" s="525"/>
      <c r="EV37" s="525"/>
      <c r="EW37" s="525"/>
      <c r="EX37" s="525"/>
      <c r="EY37" s="525"/>
      <c r="EZ37" s="525"/>
      <c r="FA37" s="525"/>
      <c r="FB37" s="525"/>
      <c r="FC37" s="525"/>
      <c r="FD37" s="525"/>
      <c r="FE37" s="525"/>
      <c r="FF37" s="525"/>
      <c r="FG37" s="525"/>
      <c r="FH37" s="525"/>
      <c r="FI37" s="525"/>
      <c r="FJ37" s="525"/>
      <c r="FK37" s="525"/>
      <c r="FL37" s="525"/>
      <c r="FM37" s="525"/>
      <c r="FN37" s="525"/>
      <c r="FO37" s="525"/>
      <c r="FP37" s="525"/>
      <c r="FQ37" s="525"/>
      <c r="FR37" s="525"/>
      <c r="FS37" s="525"/>
      <c r="FT37" s="525"/>
      <c r="FU37" s="525"/>
      <c r="FV37" s="525"/>
      <c r="FW37" s="525"/>
      <c r="FX37" s="525"/>
      <c r="FY37" s="525"/>
      <c r="FZ37" s="525"/>
      <c r="GA37" s="525"/>
      <c r="GB37" s="525"/>
      <c r="GC37" s="525"/>
      <c r="GD37" s="525"/>
      <c r="GE37" s="525"/>
      <c r="GF37" s="525"/>
      <c r="GG37" s="525"/>
      <c r="GH37" s="525"/>
      <c r="GI37" s="525"/>
      <c r="GJ37" s="525"/>
      <c r="GK37" s="525"/>
      <c r="GL37" s="525"/>
      <c r="GM37" s="525"/>
      <c r="GN37" s="525"/>
      <c r="GO37" s="525"/>
      <c r="GP37" s="525"/>
      <c r="GQ37" s="525"/>
      <c r="GR37" s="525"/>
      <c r="GS37" s="525"/>
      <c r="GT37" s="525"/>
      <c r="GU37" s="525"/>
      <c r="GV37" s="525"/>
      <c r="GW37" s="525"/>
      <c r="GX37" s="525"/>
      <c r="GY37" s="525"/>
      <c r="GZ37" s="525"/>
      <c r="HA37" s="525"/>
      <c r="HB37" s="525"/>
      <c r="HC37" s="525"/>
      <c r="HD37" s="525"/>
      <c r="HE37" s="525"/>
      <c r="HF37" s="525"/>
    </row>
    <row r="38" spans="1:292" ht="70" hidden="1" customHeight="1">
      <c r="A38" s="170" t="s">
        <v>119</v>
      </c>
      <c r="B38" s="334"/>
      <c r="C38" s="334"/>
      <c r="D38" s="334"/>
      <c r="E38" s="334"/>
      <c r="F38" s="335">
        <v>45237</v>
      </c>
      <c r="G38" s="41" t="s">
        <v>120</v>
      </c>
      <c r="H38" s="41"/>
      <c r="I38" s="41" t="s">
        <v>38</v>
      </c>
      <c r="J38" s="150" t="s">
        <v>121</v>
      </c>
      <c r="K38" s="236" t="s">
        <v>33</v>
      </c>
      <c r="L38" s="41" t="s">
        <v>34</v>
      </c>
      <c r="M38" s="41"/>
      <c r="N38" s="133">
        <v>45628</v>
      </c>
      <c r="O38" s="51"/>
      <c r="P38" s="526">
        <v>45468</v>
      </c>
      <c r="Q38" s="451">
        <f t="shared" ref="Q38:Q55" si="11">P38+45</f>
        <v>45513</v>
      </c>
      <c r="R38" s="452">
        <f t="shared" ref="R38:R53" si="12">T38-60</f>
        <v>45541</v>
      </c>
      <c r="S38" s="32" t="s">
        <v>122</v>
      </c>
      <c r="T38" s="453">
        <v>45601</v>
      </c>
      <c r="U38" s="336">
        <f t="shared" ref="U38:U44" si="13">_xlfn.DAYS(T38,N38)</f>
        <v>-27</v>
      </c>
      <c r="V38" s="259"/>
      <c r="W38" s="212" t="s">
        <v>123</v>
      </c>
      <c r="X38" s="6"/>
      <c r="Y38" s="464" t="s">
        <v>34</v>
      </c>
      <c r="Z38" s="456"/>
      <c r="AA38" s="456"/>
      <c r="AB38" s="456"/>
      <c r="AC38" s="456"/>
      <c r="AD38" s="456"/>
      <c r="AE38" s="456"/>
      <c r="AF38" s="456"/>
      <c r="AG38" s="456"/>
      <c r="AH38" s="456"/>
      <c r="AI38" s="456"/>
      <c r="AJ38" s="457"/>
      <c r="AK38" s="457"/>
      <c r="AL38" s="456"/>
      <c r="AM38" s="527"/>
      <c r="AN38" s="456"/>
      <c r="AO38" s="456"/>
      <c r="AP38" s="456"/>
      <c r="AQ38" s="456"/>
      <c r="AR38" s="456"/>
      <c r="AS38" s="456"/>
      <c r="AT38" s="456"/>
      <c r="AU38" s="456"/>
      <c r="AV38" s="456"/>
      <c r="AW38" s="456"/>
      <c r="AX38" s="456"/>
      <c r="AY38" s="456"/>
      <c r="AZ38" s="456"/>
      <c r="BA38" s="456"/>
      <c r="BB38" s="456"/>
      <c r="BC38" s="456"/>
      <c r="BD38" s="456"/>
      <c r="BE38" s="456"/>
      <c r="BF38" s="459"/>
      <c r="BG38" s="456"/>
      <c r="BH38" s="456"/>
      <c r="BI38" s="456"/>
      <c r="BJ38" s="456"/>
      <c r="BK38" s="456"/>
      <c r="BL38" s="456"/>
      <c r="BM38" s="456"/>
      <c r="BN38" s="456"/>
      <c r="BO38" s="456"/>
      <c r="BP38" s="456"/>
      <c r="BQ38" s="456"/>
      <c r="BR38" s="456"/>
      <c r="BS38" s="456"/>
      <c r="BT38" s="456"/>
      <c r="BU38" s="456"/>
      <c r="BV38" s="456"/>
      <c r="BW38" s="456"/>
      <c r="BX38" s="456"/>
      <c r="BY38" s="456"/>
      <c r="BZ38" s="456"/>
      <c r="CA38" s="456"/>
      <c r="CB38" s="456"/>
      <c r="CC38" s="456"/>
      <c r="CD38" s="456"/>
      <c r="CE38" s="456"/>
      <c r="CF38" s="456"/>
      <c r="CG38" s="456"/>
      <c r="CH38" s="456"/>
      <c r="CI38" s="456"/>
      <c r="CJ38" s="456"/>
      <c r="CK38" s="456"/>
      <c r="CL38" s="456"/>
      <c r="CM38" s="456"/>
      <c r="CN38" s="457"/>
      <c r="CO38" s="457"/>
      <c r="CP38" s="456"/>
      <c r="CQ38" s="456"/>
      <c r="CR38" s="456"/>
      <c r="CS38" s="456"/>
      <c r="CT38" s="456"/>
      <c r="CU38" s="456"/>
      <c r="CV38" s="456"/>
      <c r="CW38" s="456"/>
      <c r="CX38" s="456"/>
      <c r="CY38" s="456"/>
      <c r="CZ38" s="456"/>
      <c r="DA38" s="456"/>
      <c r="DB38" s="456"/>
      <c r="DC38" s="456"/>
      <c r="DD38" s="456"/>
      <c r="DE38" s="456"/>
      <c r="DF38" s="456"/>
      <c r="DG38" s="456"/>
      <c r="DH38" s="456"/>
      <c r="DI38" s="456"/>
      <c r="DJ38" s="456"/>
      <c r="DK38" s="456"/>
      <c r="DL38" s="456"/>
      <c r="DM38" s="456"/>
      <c r="DN38" s="456"/>
      <c r="DO38" s="456"/>
      <c r="DP38" s="456"/>
      <c r="DQ38" s="456"/>
      <c r="DR38" s="456"/>
      <c r="DS38" s="456"/>
      <c r="DT38" s="456"/>
      <c r="DU38" s="456"/>
      <c r="DV38" s="456"/>
      <c r="DW38" s="456"/>
      <c r="DX38" s="456"/>
      <c r="DY38" s="456"/>
      <c r="DZ38" s="456"/>
      <c r="EA38" s="456"/>
      <c r="EB38" s="456"/>
    </row>
    <row r="39" spans="1:292" ht="70" hidden="1" customHeight="1">
      <c r="A39" s="170" t="s">
        <v>124</v>
      </c>
      <c r="B39" s="334"/>
      <c r="C39" s="334" t="s">
        <v>71</v>
      </c>
      <c r="D39" s="334">
        <v>2035</v>
      </c>
      <c r="E39" s="334">
        <v>1978</v>
      </c>
      <c r="F39" s="335">
        <v>45251</v>
      </c>
      <c r="G39" s="41" t="s">
        <v>120</v>
      </c>
      <c r="H39" s="41"/>
      <c r="I39" s="41" t="s">
        <v>125</v>
      </c>
      <c r="J39" s="150" t="s">
        <v>126</v>
      </c>
      <c r="K39" s="236" t="s">
        <v>33</v>
      </c>
      <c r="L39" s="528" t="s">
        <v>73</v>
      </c>
      <c r="M39" s="529"/>
      <c r="N39" s="134">
        <v>45663</v>
      </c>
      <c r="O39" s="52">
        <v>45663</v>
      </c>
      <c r="P39" s="526">
        <v>45490</v>
      </c>
      <c r="Q39" s="451">
        <f t="shared" si="11"/>
        <v>45535</v>
      </c>
      <c r="R39" s="452">
        <f t="shared" si="12"/>
        <v>45566</v>
      </c>
      <c r="S39" s="32" t="s">
        <v>122</v>
      </c>
      <c r="T39" s="453">
        <v>45626</v>
      </c>
      <c r="U39" s="336">
        <f t="shared" si="13"/>
        <v>-37</v>
      </c>
      <c r="V39" s="530" t="s">
        <v>127</v>
      </c>
      <c r="W39" s="212" t="s">
        <v>128</v>
      </c>
      <c r="X39" s="473"/>
      <c r="Y39" s="473"/>
      <c r="Z39" s="473"/>
      <c r="AA39" s="4" t="s">
        <v>67</v>
      </c>
      <c r="AB39" s="4"/>
      <c r="AC39" s="531" t="s">
        <v>129</v>
      </c>
      <c r="AD39" s="532" t="s">
        <v>50</v>
      </c>
      <c r="AE39" s="532"/>
      <c r="AF39" s="532"/>
      <c r="AG39" s="532"/>
      <c r="AH39" s="533" t="s">
        <v>130</v>
      </c>
      <c r="AI39" s="456"/>
      <c r="AJ39" s="457"/>
      <c r="AK39" s="457"/>
      <c r="AL39" s="456"/>
      <c r="AM39" s="527"/>
      <c r="AN39" s="456"/>
      <c r="AO39" s="456"/>
      <c r="AP39" s="456"/>
      <c r="AQ39" s="456"/>
      <c r="AR39" s="456"/>
      <c r="AS39" s="456"/>
      <c r="AT39" s="456"/>
      <c r="AU39" s="456"/>
      <c r="AV39" s="456"/>
      <c r="AW39" s="456"/>
      <c r="AX39" s="456"/>
      <c r="AY39" s="456"/>
      <c r="AZ39" s="456"/>
      <c r="BA39" s="456"/>
      <c r="BB39" s="456"/>
      <c r="BC39" s="456"/>
      <c r="BD39" s="456"/>
      <c r="BE39" s="456"/>
      <c r="BF39" s="459"/>
      <c r="BG39" s="456"/>
      <c r="BH39" s="456"/>
      <c r="BI39" s="456"/>
      <c r="BJ39" s="456"/>
      <c r="BK39" s="456"/>
      <c r="BL39" s="456"/>
      <c r="BM39" s="456"/>
      <c r="BN39" s="456"/>
      <c r="BO39" s="456"/>
      <c r="BP39" s="456"/>
      <c r="BQ39" s="456"/>
      <c r="BR39" s="456"/>
      <c r="BS39" s="456"/>
      <c r="BT39" s="456"/>
      <c r="BU39" s="456"/>
      <c r="BV39" s="456"/>
      <c r="BW39" s="456"/>
      <c r="BX39" s="456"/>
      <c r="BY39" s="456"/>
      <c r="BZ39" s="456"/>
      <c r="CA39" s="456"/>
      <c r="CB39" s="456"/>
      <c r="CC39" s="456"/>
      <c r="CD39" s="456"/>
      <c r="CE39" s="456"/>
      <c r="CF39" s="456"/>
      <c r="CG39" s="456"/>
      <c r="CH39" s="456"/>
      <c r="CI39" s="456"/>
      <c r="CJ39" s="456"/>
      <c r="CK39" s="456"/>
      <c r="CL39" s="456"/>
      <c r="CM39" s="456"/>
      <c r="CN39" s="457"/>
      <c r="CO39" s="457"/>
      <c r="CP39" s="456"/>
      <c r="CQ39" s="456"/>
      <c r="CR39" s="456"/>
      <c r="CS39" s="456"/>
      <c r="CT39" s="456"/>
      <c r="CU39" s="456"/>
      <c r="CV39" s="456"/>
      <c r="CW39" s="456"/>
      <c r="CX39" s="456"/>
      <c r="CY39" s="456"/>
      <c r="CZ39" s="456"/>
      <c r="DA39" s="456"/>
      <c r="DB39" s="456"/>
      <c r="DC39" s="456"/>
      <c r="DD39" s="456"/>
      <c r="DE39" s="456"/>
      <c r="DF39" s="456"/>
      <c r="DG39" s="456"/>
      <c r="DH39" s="456"/>
      <c r="DI39" s="456"/>
      <c r="DJ39" s="456"/>
      <c r="DK39" s="456"/>
      <c r="DL39" s="456"/>
      <c r="DM39" s="456"/>
      <c r="DN39" s="456"/>
      <c r="DO39" s="456"/>
      <c r="DP39" s="456"/>
      <c r="DQ39" s="456"/>
      <c r="DR39" s="456"/>
      <c r="DS39" s="456"/>
      <c r="DT39" s="456"/>
      <c r="DU39" s="456"/>
      <c r="DV39" s="456"/>
      <c r="DW39" s="456"/>
      <c r="DX39" s="456"/>
      <c r="DY39" s="456"/>
      <c r="DZ39" s="456"/>
      <c r="EA39" s="456"/>
      <c r="EB39" s="456"/>
      <c r="EC39" s="456"/>
      <c r="ED39" s="456"/>
      <c r="EE39" s="456"/>
      <c r="EF39" s="456"/>
      <c r="EG39" s="456"/>
      <c r="EH39" s="456"/>
      <c r="EI39" s="456"/>
      <c r="EJ39" s="456"/>
    </row>
    <row r="40" spans="1:292" ht="70" hidden="1" customHeight="1">
      <c r="A40" s="170" t="s">
        <v>131</v>
      </c>
      <c r="B40" s="334"/>
      <c r="C40" s="334" t="s">
        <v>71</v>
      </c>
      <c r="D40" s="334">
        <v>2272</v>
      </c>
      <c r="E40" s="334">
        <v>1912</v>
      </c>
      <c r="F40" s="335">
        <v>45267</v>
      </c>
      <c r="G40" s="41" t="s">
        <v>120</v>
      </c>
      <c r="H40" s="41"/>
      <c r="I40" s="41" t="s">
        <v>132</v>
      </c>
      <c r="J40" s="150" t="s">
        <v>133</v>
      </c>
      <c r="K40" s="236" t="s">
        <v>33</v>
      </c>
      <c r="L40" s="528" t="s">
        <v>73</v>
      </c>
      <c r="M40" s="529"/>
      <c r="N40" s="134">
        <v>45658</v>
      </c>
      <c r="O40" s="52">
        <v>45658</v>
      </c>
      <c r="P40" s="526">
        <v>45518</v>
      </c>
      <c r="Q40" s="451">
        <f t="shared" si="11"/>
        <v>45563</v>
      </c>
      <c r="R40" s="452">
        <f t="shared" si="12"/>
        <v>45587</v>
      </c>
      <c r="S40" s="32" t="s">
        <v>122</v>
      </c>
      <c r="T40" s="453">
        <v>45647</v>
      </c>
      <c r="U40" s="336">
        <f t="shared" si="13"/>
        <v>-11</v>
      </c>
      <c r="V40" s="530" t="s">
        <v>127</v>
      </c>
      <c r="W40" s="212" t="s">
        <v>128</v>
      </c>
      <c r="X40" s="472"/>
      <c r="Y40" s="534" t="s">
        <v>31</v>
      </c>
      <c r="Z40" s="535" t="s">
        <v>66</v>
      </c>
      <c r="AA40" s="535"/>
      <c r="AB40" s="535"/>
      <c r="AC40" s="536"/>
      <c r="AD40" s="24" t="s">
        <v>67</v>
      </c>
      <c r="AE40" s="24"/>
      <c r="AF40" s="537" t="s">
        <v>50</v>
      </c>
      <c r="AG40" s="537" t="s">
        <v>50</v>
      </c>
      <c r="AH40" s="538" t="s">
        <v>130</v>
      </c>
      <c r="AI40" s="456"/>
      <c r="AJ40" s="457"/>
      <c r="AK40" s="457"/>
      <c r="AL40" s="456"/>
      <c r="AM40" s="527"/>
      <c r="AN40" s="456"/>
      <c r="AO40" s="456"/>
      <c r="AP40" s="456"/>
      <c r="AQ40" s="456"/>
      <c r="AR40" s="456"/>
      <c r="AS40" s="456"/>
      <c r="AT40" s="456"/>
      <c r="AU40" s="456"/>
      <c r="AV40" s="456"/>
      <c r="AW40" s="456"/>
      <c r="AX40" s="456"/>
      <c r="AY40" s="456"/>
      <c r="AZ40" s="456"/>
      <c r="BA40" s="456"/>
      <c r="BB40" s="456"/>
      <c r="BC40" s="456"/>
      <c r="BD40" s="456"/>
      <c r="BE40" s="456"/>
      <c r="BF40" s="459"/>
      <c r="BG40" s="456"/>
      <c r="BH40" s="456"/>
      <c r="BI40" s="456"/>
      <c r="BJ40" s="456"/>
      <c r="BK40" s="456"/>
      <c r="BL40" s="456"/>
      <c r="BM40" s="456"/>
      <c r="BN40" s="456"/>
      <c r="BO40" s="456"/>
      <c r="BP40" s="456"/>
      <c r="BQ40" s="456"/>
      <c r="BR40" s="456"/>
      <c r="BS40" s="456"/>
      <c r="BT40" s="456"/>
      <c r="BU40" s="456"/>
      <c r="BV40" s="456"/>
      <c r="BW40" s="456"/>
      <c r="BX40" s="456"/>
      <c r="BY40" s="456"/>
      <c r="BZ40" s="456"/>
      <c r="CA40" s="456"/>
      <c r="CB40" s="456"/>
      <c r="CC40" s="456"/>
      <c r="CD40" s="456"/>
      <c r="CE40" s="456"/>
      <c r="CF40" s="456"/>
      <c r="CG40" s="456"/>
      <c r="CH40" s="456"/>
      <c r="CI40" s="456"/>
      <c r="CJ40" s="456"/>
      <c r="CK40" s="456"/>
      <c r="CL40" s="456"/>
      <c r="CM40" s="456"/>
      <c r="CN40" s="457"/>
      <c r="CO40" s="457"/>
      <c r="CP40" s="456"/>
      <c r="CQ40" s="456"/>
      <c r="CR40" s="456"/>
      <c r="CS40" s="456"/>
      <c r="CT40" s="456"/>
      <c r="CU40" s="456"/>
      <c r="CV40" s="456"/>
      <c r="CW40" s="456"/>
      <c r="CX40" s="456"/>
      <c r="CY40" s="456"/>
      <c r="CZ40" s="456"/>
      <c r="DA40" s="456"/>
      <c r="DB40" s="456"/>
      <c r="DC40" s="456"/>
      <c r="DD40" s="456"/>
      <c r="DE40" s="456"/>
      <c r="DF40" s="456"/>
      <c r="DG40" s="456"/>
      <c r="DH40" s="456"/>
      <c r="DI40" s="456"/>
      <c r="DJ40" s="456"/>
      <c r="DK40" s="456"/>
      <c r="DL40" s="456"/>
      <c r="DM40" s="456"/>
      <c r="DN40" s="456"/>
      <c r="DO40" s="456"/>
      <c r="DP40" s="456"/>
      <c r="DQ40" s="456"/>
      <c r="DR40" s="456"/>
      <c r="DS40" s="456"/>
      <c r="DT40" s="456"/>
      <c r="DU40" s="456"/>
      <c r="DV40" s="456"/>
      <c r="DW40" s="456"/>
      <c r="DX40" s="456"/>
      <c r="DY40" s="456"/>
      <c r="DZ40" s="456"/>
      <c r="EA40" s="456"/>
      <c r="EB40" s="456"/>
      <c r="EC40" s="456"/>
      <c r="ED40" s="456"/>
      <c r="EE40" s="456"/>
      <c r="EF40" s="456"/>
      <c r="EG40" s="456"/>
      <c r="EH40" s="456"/>
      <c r="EI40" s="456"/>
      <c r="EJ40" s="456"/>
    </row>
    <row r="41" spans="1:292" ht="70" hidden="1" customHeight="1">
      <c r="A41" s="170" t="s">
        <v>134</v>
      </c>
      <c r="B41" s="334"/>
      <c r="C41" s="334" t="s">
        <v>71</v>
      </c>
      <c r="D41" s="334">
        <v>1683</v>
      </c>
      <c r="E41" s="334">
        <v>1878</v>
      </c>
      <c r="F41" s="335">
        <v>45272</v>
      </c>
      <c r="G41" s="41" t="s">
        <v>120</v>
      </c>
      <c r="H41" s="41"/>
      <c r="I41" s="41" t="s">
        <v>135</v>
      </c>
      <c r="J41" s="150" t="s">
        <v>136</v>
      </c>
      <c r="K41" s="236" t="s">
        <v>33</v>
      </c>
      <c r="L41" s="528" t="s">
        <v>73</v>
      </c>
      <c r="M41" s="529"/>
      <c r="N41" s="134">
        <v>45742</v>
      </c>
      <c r="O41" s="52">
        <v>45742</v>
      </c>
      <c r="P41" s="526">
        <v>45539</v>
      </c>
      <c r="Q41" s="451">
        <f t="shared" si="11"/>
        <v>45584</v>
      </c>
      <c r="R41" s="452">
        <f t="shared" si="12"/>
        <v>45615</v>
      </c>
      <c r="S41" s="32" t="s">
        <v>122</v>
      </c>
      <c r="T41" s="453">
        <v>45675</v>
      </c>
      <c r="U41" s="336">
        <f t="shared" si="13"/>
        <v>-67</v>
      </c>
      <c r="V41" s="530" t="s">
        <v>748</v>
      </c>
      <c r="W41" s="212" t="s">
        <v>137</v>
      </c>
      <c r="X41" s="515"/>
      <c r="Y41" s="515"/>
      <c r="Z41" s="472" t="s">
        <v>77</v>
      </c>
      <c r="AA41" s="472"/>
      <c r="AB41" s="472"/>
      <c r="AC41" s="534" t="s">
        <v>31</v>
      </c>
      <c r="AD41" s="535" t="s">
        <v>66</v>
      </c>
      <c r="AE41" s="535"/>
      <c r="AF41" s="535"/>
      <c r="AG41" s="535"/>
      <c r="AH41" s="6" t="s">
        <v>67</v>
      </c>
      <c r="AI41" s="6"/>
      <c r="AJ41" s="457"/>
      <c r="AK41" s="457"/>
      <c r="AL41" s="537" t="s">
        <v>50</v>
      </c>
      <c r="AM41" s="533" t="s">
        <v>130</v>
      </c>
      <c r="AN41" s="456"/>
      <c r="AO41" s="456"/>
      <c r="AP41" s="456"/>
      <c r="AQ41" s="456"/>
      <c r="AR41" s="456"/>
      <c r="AS41" s="456"/>
      <c r="AT41" s="456"/>
      <c r="AU41" s="456"/>
      <c r="AV41" s="456"/>
      <c r="AW41" s="456"/>
      <c r="AX41" s="456"/>
      <c r="AY41" s="456"/>
      <c r="AZ41" s="456"/>
      <c r="BA41" s="456"/>
      <c r="BB41" s="456"/>
      <c r="BC41" s="456"/>
      <c r="BD41" s="456"/>
      <c r="BE41" s="456"/>
      <c r="BF41" s="459"/>
      <c r="BG41" s="456"/>
      <c r="BH41" s="456"/>
      <c r="BI41" s="456"/>
      <c r="BJ41" s="456"/>
      <c r="BK41" s="456"/>
      <c r="BL41" s="456"/>
      <c r="BM41" s="456"/>
      <c r="BN41" s="456"/>
      <c r="BO41" s="456"/>
      <c r="BP41" s="456"/>
      <c r="BQ41" s="456"/>
      <c r="BR41" s="456"/>
      <c r="BS41" s="456"/>
      <c r="BT41" s="456"/>
      <c r="BU41" s="456"/>
      <c r="BV41" s="456"/>
      <c r="BW41" s="456"/>
      <c r="BX41" s="456"/>
      <c r="BY41" s="456"/>
      <c r="BZ41" s="456"/>
      <c r="CA41" s="456"/>
      <c r="CB41" s="456"/>
      <c r="CC41" s="456"/>
      <c r="CD41" s="456"/>
      <c r="CE41" s="456"/>
      <c r="CF41" s="456"/>
      <c r="CG41" s="456"/>
      <c r="CH41" s="456"/>
      <c r="CI41" s="456"/>
      <c r="CJ41" s="456"/>
      <c r="CK41" s="456"/>
      <c r="CL41" s="456"/>
      <c r="CM41" s="456"/>
      <c r="CN41" s="457"/>
      <c r="CO41" s="457"/>
      <c r="CP41" s="456"/>
      <c r="CQ41" s="456"/>
      <c r="CR41" s="456"/>
      <c r="CS41" s="456"/>
      <c r="CT41" s="456"/>
      <c r="CU41" s="456"/>
      <c r="CV41" s="456"/>
      <c r="CW41" s="456"/>
      <c r="CX41" s="456"/>
      <c r="CY41" s="456"/>
      <c r="CZ41" s="456"/>
      <c r="DA41" s="456"/>
      <c r="DB41" s="456"/>
      <c r="DC41" s="456"/>
      <c r="DD41" s="456"/>
      <c r="DE41" s="456"/>
      <c r="DF41" s="456"/>
      <c r="DG41" s="456"/>
      <c r="DH41" s="456"/>
      <c r="DI41" s="456"/>
      <c r="DJ41" s="456"/>
      <c r="DK41" s="456"/>
      <c r="DL41" s="456"/>
      <c r="DM41" s="456"/>
      <c r="DN41" s="456"/>
      <c r="DO41" s="456"/>
      <c r="DP41" s="456"/>
      <c r="DQ41" s="456"/>
      <c r="DR41" s="456"/>
      <c r="DS41" s="456"/>
      <c r="DT41" s="456"/>
      <c r="DU41" s="456"/>
      <c r="DV41" s="456"/>
      <c r="DW41" s="456"/>
      <c r="DX41" s="456"/>
      <c r="DY41" s="456"/>
      <c r="DZ41" s="456"/>
      <c r="EA41" s="456"/>
      <c r="EB41" s="456"/>
      <c r="EC41" s="456"/>
      <c r="ED41" s="456"/>
      <c r="EE41" s="456"/>
      <c r="EF41" s="456"/>
      <c r="EG41" s="456"/>
      <c r="EH41" s="456"/>
      <c r="EI41" s="456"/>
      <c r="EJ41" s="456"/>
    </row>
    <row r="42" spans="1:292" ht="70" hidden="1" customHeight="1">
      <c r="A42" s="170" t="s">
        <v>138</v>
      </c>
      <c r="B42" s="334"/>
      <c r="C42" s="334" t="s">
        <v>71</v>
      </c>
      <c r="D42" s="334">
        <v>1703</v>
      </c>
      <c r="E42" s="334">
        <v>1754</v>
      </c>
      <c r="F42" s="335">
        <v>45302</v>
      </c>
      <c r="G42" s="41" t="s">
        <v>120</v>
      </c>
      <c r="H42" s="41"/>
      <c r="I42" s="41" t="s">
        <v>38</v>
      </c>
      <c r="J42" s="150" t="s">
        <v>139</v>
      </c>
      <c r="K42" s="236" t="s">
        <v>33</v>
      </c>
      <c r="L42" s="41" t="s">
        <v>34</v>
      </c>
      <c r="M42" s="41"/>
      <c r="N42" s="134">
        <v>45748</v>
      </c>
      <c r="O42" s="52">
        <v>45748</v>
      </c>
      <c r="P42" s="526">
        <v>45567</v>
      </c>
      <c r="Q42" s="451">
        <f t="shared" si="11"/>
        <v>45612</v>
      </c>
      <c r="R42" s="452">
        <f t="shared" si="12"/>
        <v>45650</v>
      </c>
      <c r="S42" s="32" t="s">
        <v>122</v>
      </c>
      <c r="T42" s="453">
        <v>45710</v>
      </c>
      <c r="U42" s="336">
        <f t="shared" si="13"/>
        <v>-38</v>
      </c>
      <c r="V42" s="260" t="s">
        <v>140</v>
      </c>
      <c r="W42" s="212" t="s">
        <v>141</v>
      </c>
      <c r="X42" s="506"/>
      <c r="Y42" s="514"/>
      <c r="Z42" s="515" t="s">
        <v>81</v>
      </c>
      <c r="AA42" s="515"/>
      <c r="AB42" s="515"/>
      <c r="AC42" s="472" t="s">
        <v>77</v>
      </c>
      <c r="AD42" s="472"/>
      <c r="AE42" s="472"/>
      <c r="AF42" s="534" t="s">
        <v>31</v>
      </c>
      <c r="AG42" s="535" t="s">
        <v>66</v>
      </c>
      <c r="AH42" s="535"/>
      <c r="AI42" s="535"/>
      <c r="AJ42" s="457"/>
      <c r="AK42" s="457"/>
      <c r="AL42" s="473"/>
      <c r="AM42" s="22" t="s">
        <v>67</v>
      </c>
      <c r="AN42" s="6"/>
      <c r="AO42" s="456"/>
      <c r="AP42" s="456"/>
      <c r="AQ42" s="456"/>
      <c r="AR42" s="456"/>
      <c r="AS42" s="456"/>
      <c r="AT42" s="456"/>
      <c r="AU42" s="456"/>
      <c r="AV42" s="456"/>
      <c r="AW42" s="456"/>
      <c r="AX42" s="456"/>
      <c r="AY42" s="456"/>
      <c r="AZ42" s="456"/>
      <c r="BA42" s="456"/>
      <c r="BB42" s="456"/>
      <c r="BC42" s="456"/>
      <c r="BD42" s="456"/>
      <c r="BE42" s="456"/>
      <c r="BF42" s="459"/>
      <c r="BG42" s="456"/>
      <c r="BH42" s="456"/>
      <c r="BI42" s="456"/>
      <c r="BJ42" s="456"/>
      <c r="BK42" s="456"/>
      <c r="BL42" s="456"/>
      <c r="BM42" s="456"/>
      <c r="BN42" s="456"/>
      <c r="BO42" s="456"/>
      <c r="BP42" s="456"/>
      <c r="BQ42" s="456"/>
      <c r="BR42" s="456"/>
      <c r="BS42" s="456"/>
      <c r="BT42" s="456"/>
      <c r="BU42" s="456"/>
      <c r="BV42" s="456"/>
      <c r="BW42" s="456"/>
      <c r="BX42" s="456"/>
      <c r="BY42" s="456"/>
      <c r="BZ42" s="456"/>
      <c r="CA42" s="456"/>
      <c r="CB42" s="456"/>
      <c r="CC42" s="456"/>
      <c r="CD42" s="456"/>
      <c r="CE42" s="456"/>
      <c r="CF42" s="456"/>
      <c r="CG42" s="456"/>
      <c r="CH42" s="456"/>
      <c r="CI42" s="456"/>
      <c r="CJ42" s="456"/>
      <c r="CK42" s="456"/>
      <c r="CL42" s="456"/>
      <c r="CM42" s="456"/>
      <c r="CN42" s="457"/>
      <c r="CO42" s="470"/>
      <c r="CP42" s="458"/>
      <c r="CQ42" s="458"/>
      <c r="CR42" s="458"/>
      <c r="CS42" s="458"/>
      <c r="CT42" s="458"/>
      <c r="CU42" s="458"/>
      <c r="CV42" s="458"/>
      <c r="CW42" s="458"/>
      <c r="CX42" s="458"/>
      <c r="CY42" s="458"/>
      <c r="CZ42" s="458"/>
      <c r="DA42" s="458"/>
      <c r="DB42" s="458"/>
      <c r="DC42" s="458"/>
      <c r="DD42" s="458"/>
      <c r="DE42" s="458"/>
      <c r="DF42" s="458"/>
      <c r="DG42" s="458"/>
      <c r="DH42" s="458"/>
      <c r="DI42" s="458"/>
      <c r="DJ42" s="458"/>
      <c r="DK42" s="458"/>
      <c r="DL42" s="458"/>
      <c r="DM42" s="458"/>
      <c r="DN42" s="458"/>
      <c r="DO42" s="458"/>
      <c r="DP42" s="458"/>
      <c r="DQ42" s="458"/>
      <c r="DR42" s="458"/>
      <c r="DS42" s="458"/>
      <c r="DT42" s="458"/>
    </row>
    <row r="43" spans="1:292" ht="70" hidden="1" customHeight="1">
      <c r="A43" s="170" t="s">
        <v>142</v>
      </c>
      <c r="B43" s="334"/>
      <c r="C43" s="334" t="s">
        <v>71</v>
      </c>
      <c r="D43" s="334">
        <v>1249</v>
      </c>
      <c r="E43" s="334">
        <v>1400</v>
      </c>
      <c r="F43" s="337" t="s">
        <v>143</v>
      </c>
      <c r="G43" s="41" t="s">
        <v>120</v>
      </c>
      <c r="H43" s="41"/>
      <c r="I43" s="41" t="s">
        <v>680</v>
      </c>
      <c r="J43" s="150" t="s">
        <v>683</v>
      </c>
      <c r="K43" s="236" t="s">
        <v>145</v>
      </c>
      <c r="L43" s="41" t="s">
        <v>34</v>
      </c>
      <c r="M43" s="41"/>
      <c r="N43" s="134">
        <v>45790</v>
      </c>
      <c r="O43" s="52">
        <v>45790</v>
      </c>
      <c r="P43" s="526">
        <v>45588</v>
      </c>
      <c r="Q43" s="451">
        <f t="shared" si="11"/>
        <v>45633</v>
      </c>
      <c r="R43" s="452">
        <f t="shared" si="12"/>
        <v>45678</v>
      </c>
      <c r="S43" s="32" t="s">
        <v>122</v>
      </c>
      <c r="T43" s="453">
        <v>45738</v>
      </c>
      <c r="U43" s="336">
        <f t="shared" si="13"/>
        <v>-52</v>
      </c>
      <c r="V43" s="500" t="s">
        <v>682</v>
      </c>
      <c r="W43" s="111" t="s">
        <v>731</v>
      </c>
      <c r="X43" s="513"/>
      <c r="Y43" s="513"/>
      <c r="Z43" s="513"/>
      <c r="AA43" s="514"/>
      <c r="AB43" s="506"/>
      <c r="AC43" s="514"/>
      <c r="AD43" s="515" t="s">
        <v>81</v>
      </c>
      <c r="AE43" s="515"/>
      <c r="AF43" s="515"/>
      <c r="AG43" s="472" t="s">
        <v>77</v>
      </c>
      <c r="AH43" s="472"/>
      <c r="AI43" s="472"/>
      <c r="AJ43" s="457"/>
      <c r="AK43" s="457"/>
      <c r="AL43" s="534" t="s">
        <v>31</v>
      </c>
      <c r="AM43" s="539" t="s">
        <v>66</v>
      </c>
      <c r="AN43" s="535"/>
      <c r="AO43" s="535"/>
      <c r="AP43" s="535"/>
      <c r="AQ43" s="6" t="s">
        <v>67</v>
      </c>
      <c r="AR43" s="4"/>
      <c r="AS43" s="540" t="s">
        <v>147</v>
      </c>
      <c r="AT43" s="541"/>
      <c r="AU43" s="541"/>
      <c r="AV43" s="541"/>
      <c r="AW43" s="541"/>
      <c r="AX43" s="541"/>
      <c r="AY43" s="541"/>
      <c r="AZ43" s="541"/>
      <c r="BA43" s="541"/>
      <c r="BB43" s="541"/>
      <c r="BC43" s="541"/>
      <c r="BD43" s="542"/>
      <c r="BE43" s="540" t="s">
        <v>147</v>
      </c>
      <c r="BF43" s="541"/>
      <c r="BG43" s="541"/>
      <c r="BH43" s="541"/>
      <c r="BI43" s="541"/>
      <c r="BJ43" s="541"/>
      <c r="BK43" s="541"/>
      <c r="BL43" s="541"/>
      <c r="BM43" s="541"/>
      <c r="BN43" s="541"/>
      <c r="BO43" s="541"/>
      <c r="BP43" s="542"/>
      <c r="BQ43" s="456"/>
      <c r="BR43" s="456"/>
      <c r="BS43" s="456"/>
      <c r="BT43" s="456"/>
      <c r="BU43" s="456"/>
      <c r="BV43" s="456"/>
      <c r="BW43" s="456"/>
      <c r="BX43" s="456"/>
      <c r="BY43" s="456"/>
      <c r="BZ43" s="456"/>
      <c r="CA43" s="456"/>
      <c r="CB43" s="456"/>
      <c r="CC43" s="456"/>
      <c r="CD43" s="456"/>
      <c r="CE43" s="456"/>
      <c r="CF43" s="456"/>
      <c r="CG43" s="456"/>
      <c r="CH43" s="456"/>
      <c r="CI43" s="456"/>
      <c r="CJ43" s="456"/>
      <c r="CK43" s="456"/>
      <c r="CL43" s="456"/>
      <c r="CM43" s="457"/>
      <c r="CN43" s="457"/>
      <c r="CO43" s="456"/>
      <c r="CP43" s="456"/>
      <c r="CQ43" s="456"/>
      <c r="CR43" s="456"/>
      <c r="CS43" s="456"/>
      <c r="CT43" s="4" t="s">
        <v>67</v>
      </c>
      <c r="CU43" s="4"/>
      <c r="CV43" s="456"/>
      <c r="CW43" s="456"/>
      <c r="CX43" s="457"/>
      <c r="CY43" s="456"/>
      <c r="CZ43" s="456"/>
      <c r="DA43" s="456"/>
      <c r="DB43" s="456"/>
      <c r="DC43" s="456"/>
      <c r="DD43" s="456"/>
      <c r="DE43" s="456"/>
      <c r="DF43" s="456"/>
      <c r="DG43" s="456"/>
      <c r="DH43" s="456"/>
      <c r="DI43" s="456"/>
      <c r="DJ43" s="456"/>
      <c r="DK43" s="456"/>
      <c r="DL43" s="456"/>
      <c r="DM43" s="456"/>
      <c r="DN43" s="456"/>
      <c r="DO43" s="456"/>
      <c r="DP43" s="456"/>
      <c r="DQ43" s="456"/>
      <c r="DR43" s="456"/>
      <c r="DS43" s="456"/>
      <c r="DT43" s="456"/>
      <c r="DU43" s="456"/>
      <c r="DV43" s="456"/>
      <c r="DW43" s="456"/>
      <c r="DX43" s="456"/>
      <c r="DY43" s="456"/>
      <c r="DZ43" s="456"/>
      <c r="EA43" s="456"/>
      <c r="EB43" s="456"/>
      <c r="EC43" s="456"/>
      <c r="ED43" s="456"/>
      <c r="EE43" s="459"/>
      <c r="EF43" s="456"/>
      <c r="EG43" s="456"/>
      <c r="EH43" s="456"/>
      <c r="EI43" s="456"/>
      <c r="EJ43" s="456"/>
      <c r="EK43" s="456"/>
      <c r="EL43" s="457"/>
      <c r="EM43" s="457"/>
      <c r="EN43" s="456"/>
      <c r="EO43" s="456"/>
      <c r="EP43" s="456"/>
      <c r="EQ43" s="456"/>
      <c r="ER43" s="456"/>
      <c r="ES43" s="456"/>
      <c r="ET43" s="456"/>
      <c r="EU43" s="456"/>
      <c r="EV43" s="456"/>
      <c r="EW43" s="456"/>
      <c r="EX43" s="456"/>
      <c r="EY43" s="456"/>
      <c r="EZ43" s="527"/>
      <c r="FA43" s="456"/>
      <c r="FB43" s="456"/>
      <c r="FC43" s="456"/>
      <c r="FD43" s="456"/>
      <c r="FE43" s="456"/>
      <c r="FF43" s="456"/>
      <c r="FG43" s="456"/>
      <c r="FH43" s="456"/>
      <c r="FI43" s="456"/>
      <c r="FJ43" s="456"/>
      <c r="FK43" s="456"/>
      <c r="FL43" s="456"/>
      <c r="FM43" s="456"/>
      <c r="FN43" s="456"/>
      <c r="FO43" s="456"/>
      <c r="FP43" s="456"/>
      <c r="FQ43" s="456"/>
      <c r="FR43" s="456"/>
      <c r="FS43" s="456"/>
      <c r="FT43" s="456"/>
      <c r="FU43" s="456"/>
      <c r="FV43" s="456"/>
      <c r="FW43" s="456"/>
      <c r="FX43" s="456"/>
      <c r="FY43" s="456"/>
      <c r="FZ43" s="456"/>
      <c r="GA43" s="456"/>
      <c r="GB43" s="456"/>
      <c r="GC43" s="456"/>
      <c r="GD43" s="456"/>
      <c r="GE43" s="456"/>
      <c r="GF43" s="456"/>
      <c r="GG43" s="456"/>
      <c r="GH43" s="456"/>
      <c r="GI43" s="456"/>
      <c r="GJ43" s="457"/>
      <c r="GK43" s="457"/>
      <c r="GL43" s="459"/>
      <c r="GM43" s="456"/>
      <c r="GN43" s="456"/>
      <c r="GO43" s="527"/>
      <c r="GP43" s="456"/>
      <c r="GQ43" s="456"/>
      <c r="GR43" s="456"/>
      <c r="GS43" s="456"/>
      <c r="GT43" s="456"/>
      <c r="GU43" s="456"/>
      <c r="GV43" s="456"/>
      <c r="GW43" s="456"/>
      <c r="GX43" s="456"/>
      <c r="GY43" s="456"/>
      <c r="GZ43" s="456"/>
      <c r="HA43" s="456"/>
      <c r="HB43" s="456"/>
      <c r="HC43" s="456"/>
      <c r="HD43" s="456"/>
      <c r="HE43" s="456"/>
      <c r="HF43" s="456"/>
      <c r="HG43" s="456"/>
      <c r="HH43" s="456"/>
      <c r="HI43" s="456"/>
      <c r="HJ43" s="456"/>
      <c r="HK43" s="456"/>
      <c r="HL43" s="456"/>
      <c r="HM43" s="456"/>
      <c r="HN43" s="456"/>
      <c r="HO43" s="456"/>
      <c r="HP43" s="456"/>
      <c r="HQ43" s="456"/>
      <c r="HR43" s="456"/>
      <c r="HS43" s="456"/>
      <c r="HT43" s="456"/>
      <c r="HU43" s="456"/>
      <c r="HV43" s="456"/>
      <c r="HW43" s="456"/>
      <c r="HX43" s="456"/>
      <c r="HY43" s="456"/>
      <c r="HZ43" s="456"/>
      <c r="IA43" s="456"/>
      <c r="IB43" s="456"/>
      <c r="IC43" s="456"/>
      <c r="ID43" s="456"/>
      <c r="IE43" s="456"/>
      <c r="IF43" s="456"/>
      <c r="IG43" s="456"/>
      <c r="IH43" s="456"/>
      <c r="II43" s="456"/>
      <c r="IJ43" s="456"/>
      <c r="IK43" s="456"/>
      <c r="IL43" s="456"/>
      <c r="IM43" s="456"/>
      <c r="IN43" s="457"/>
      <c r="IO43" s="457"/>
      <c r="IP43" s="456"/>
      <c r="IQ43" s="456"/>
      <c r="IR43" s="456"/>
      <c r="IS43" s="456"/>
      <c r="IT43" s="456"/>
      <c r="IU43" s="456"/>
      <c r="IV43" s="456"/>
      <c r="IW43" s="456"/>
      <c r="IX43" s="456"/>
      <c r="IY43" s="456"/>
      <c r="IZ43" s="456"/>
      <c r="JA43" s="456"/>
      <c r="JB43" s="456"/>
      <c r="JC43" s="456"/>
      <c r="JD43" s="456"/>
      <c r="JE43" s="456"/>
      <c r="JF43" s="456"/>
      <c r="JG43" s="456"/>
      <c r="JH43" s="456"/>
      <c r="JI43" s="456"/>
      <c r="JJ43" s="456"/>
      <c r="JK43" s="456"/>
      <c r="JL43" s="456"/>
      <c r="JM43" s="456"/>
      <c r="JN43" s="456"/>
      <c r="JO43" s="456"/>
      <c r="JP43" s="456"/>
      <c r="JQ43" s="456"/>
      <c r="JR43" s="456"/>
      <c r="JS43" s="456"/>
      <c r="JT43" s="456"/>
      <c r="JU43" s="456"/>
      <c r="JV43" s="456"/>
      <c r="JW43" s="456"/>
      <c r="JX43" s="456"/>
      <c r="JY43" s="456"/>
      <c r="JZ43" s="456"/>
      <c r="KA43" s="456"/>
      <c r="KB43" s="456"/>
      <c r="KC43" s="456"/>
      <c r="KD43" s="456"/>
      <c r="KE43" s="456"/>
      <c r="KF43" s="456"/>
    </row>
    <row r="44" spans="1:292" ht="70" hidden="1" customHeight="1">
      <c r="A44" s="170" t="s">
        <v>148</v>
      </c>
      <c r="B44" s="334"/>
      <c r="C44" s="334" t="s">
        <v>71</v>
      </c>
      <c r="D44" s="334">
        <v>1132</v>
      </c>
      <c r="E44" s="334">
        <v>1149</v>
      </c>
      <c r="F44" s="335">
        <v>45352</v>
      </c>
      <c r="G44" s="41" t="s">
        <v>149</v>
      </c>
      <c r="H44" s="41"/>
      <c r="I44" s="41" t="s">
        <v>723</v>
      </c>
      <c r="J44" s="150" t="s">
        <v>144</v>
      </c>
      <c r="K44" s="236" t="s">
        <v>145</v>
      </c>
      <c r="L44" s="41" t="s">
        <v>34</v>
      </c>
      <c r="M44" s="41"/>
      <c r="N44" s="134">
        <v>45808</v>
      </c>
      <c r="O44" s="52">
        <v>45808</v>
      </c>
      <c r="P44" s="526">
        <v>45619</v>
      </c>
      <c r="Q44" s="451">
        <f t="shared" si="11"/>
        <v>45664</v>
      </c>
      <c r="R44" s="452">
        <f t="shared" si="12"/>
        <v>45699</v>
      </c>
      <c r="S44" s="32" t="s">
        <v>122</v>
      </c>
      <c r="T44" s="453">
        <v>45759</v>
      </c>
      <c r="U44" s="336">
        <f t="shared" si="13"/>
        <v>-49</v>
      </c>
      <c r="V44" s="500" t="s">
        <v>698</v>
      </c>
      <c r="W44" s="111" t="s">
        <v>731</v>
      </c>
      <c r="X44" s="456"/>
      <c r="Y44" s="456"/>
      <c r="Z44" s="456"/>
      <c r="AA44" s="513" t="s">
        <v>150</v>
      </c>
      <c r="AB44" s="513"/>
      <c r="AC44" s="513"/>
      <c r="AD44" s="506" t="s">
        <v>87</v>
      </c>
      <c r="AE44" s="506"/>
      <c r="AF44" s="514"/>
      <c r="AG44" s="515" t="s">
        <v>81</v>
      </c>
      <c r="AH44" s="515"/>
      <c r="AI44" s="515"/>
      <c r="AJ44" s="457"/>
      <c r="AK44" s="457"/>
      <c r="AL44" s="471" t="s">
        <v>77</v>
      </c>
      <c r="AM44" s="543"/>
      <c r="AN44" s="472"/>
      <c r="AO44" s="534" t="s">
        <v>31</v>
      </c>
      <c r="AP44" s="535" t="s">
        <v>66</v>
      </c>
      <c r="AQ44" s="535"/>
      <c r="AR44" s="473"/>
      <c r="AS44" s="473"/>
      <c r="AT44" s="4" t="s">
        <v>67</v>
      </c>
      <c r="AU44" s="4"/>
      <c r="AV44" s="540" t="s">
        <v>151</v>
      </c>
      <c r="AW44" s="541"/>
      <c r="AX44" s="541"/>
      <c r="AY44" s="541"/>
      <c r="AZ44" s="541"/>
      <c r="BA44" s="541"/>
      <c r="BB44" s="541"/>
      <c r="BC44" s="541"/>
      <c r="BD44" s="542"/>
      <c r="BE44" s="540" t="s">
        <v>151</v>
      </c>
      <c r="BF44" s="541"/>
      <c r="BG44" s="541"/>
      <c r="BH44" s="541"/>
      <c r="BI44" s="541"/>
      <c r="BJ44" s="541"/>
      <c r="BK44" s="541"/>
      <c r="BL44" s="541"/>
      <c r="BM44" s="541"/>
      <c r="BN44" s="541"/>
      <c r="BO44" s="541"/>
      <c r="BP44" s="542"/>
      <c r="BQ44" s="456"/>
      <c r="BR44" s="456"/>
      <c r="BS44" s="456"/>
      <c r="BT44" s="456"/>
      <c r="BU44" s="456"/>
      <c r="BV44" s="456"/>
      <c r="BW44" s="456"/>
      <c r="BX44" s="456"/>
      <c r="BY44" s="456"/>
      <c r="BZ44" s="456"/>
      <c r="CA44" s="456"/>
      <c r="CB44" s="456"/>
      <c r="CC44" s="456"/>
      <c r="CD44" s="456"/>
      <c r="CE44" s="456"/>
      <c r="CF44" s="456"/>
      <c r="CG44" s="456"/>
      <c r="CH44" s="456"/>
      <c r="CI44" s="456"/>
      <c r="CJ44" s="456"/>
      <c r="CK44" s="456"/>
      <c r="CL44" s="456"/>
      <c r="CM44" s="457"/>
      <c r="CN44" s="457"/>
      <c r="CO44" s="456"/>
      <c r="CP44" s="456"/>
      <c r="CQ44" s="456"/>
      <c r="CR44" s="456"/>
      <c r="CS44" s="4" t="s">
        <v>67</v>
      </c>
      <c r="CT44" s="4"/>
      <c r="CV44" s="456"/>
      <c r="CW44" s="456"/>
      <c r="CX44" s="457"/>
      <c r="CY44" s="456"/>
      <c r="CZ44" s="456"/>
      <c r="DA44" s="456"/>
      <c r="DB44" s="456"/>
      <c r="DC44" s="456"/>
      <c r="DD44" s="456"/>
      <c r="DE44" s="456"/>
      <c r="DF44" s="456"/>
      <c r="DG44" s="456"/>
      <c r="DH44" s="456"/>
      <c r="DI44" s="456"/>
      <c r="DJ44" s="456"/>
      <c r="DK44" s="456"/>
      <c r="DL44" s="456"/>
      <c r="DM44" s="456"/>
      <c r="DN44" s="456"/>
      <c r="DO44" s="456"/>
      <c r="DP44" s="456"/>
      <c r="DQ44" s="456"/>
      <c r="DR44" s="456"/>
      <c r="DS44" s="456"/>
      <c r="DT44" s="456"/>
      <c r="DU44" s="456"/>
      <c r="DV44" s="456"/>
      <c r="DW44" s="456"/>
      <c r="DX44" s="456"/>
      <c r="DY44" s="456"/>
      <c r="DZ44" s="456"/>
      <c r="EA44" s="456"/>
      <c r="EB44" s="456"/>
      <c r="EC44" s="456"/>
      <c r="ED44" s="456"/>
      <c r="EE44" s="544"/>
      <c r="EF44" s="456"/>
      <c r="EG44" s="456"/>
      <c r="EH44" s="456"/>
      <c r="EI44" s="456"/>
      <c r="EJ44" s="456"/>
      <c r="EK44" s="456"/>
      <c r="EL44" s="457"/>
      <c r="EM44" s="457"/>
      <c r="EN44" s="456"/>
      <c r="EO44" s="456"/>
      <c r="EP44" s="456"/>
      <c r="EQ44" s="456"/>
      <c r="ER44" s="456"/>
      <c r="ES44" s="456"/>
      <c r="ET44" s="456"/>
      <c r="EU44" s="456"/>
      <c r="EV44" s="456"/>
      <c r="EW44" s="456"/>
      <c r="EX44" s="456"/>
      <c r="EY44" s="456"/>
      <c r="EZ44" s="527"/>
      <c r="FA44" s="456"/>
      <c r="FB44" s="456"/>
      <c r="FC44" s="456"/>
      <c r="FD44" s="456"/>
      <c r="FE44" s="456"/>
      <c r="FF44" s="456"/>
      <c r="FG44" s="456"/>
      <c r="FH44" s="456"/>
      <c r="FI44" s="456"/>
      <c r="FJ44" s="456"/>
      <c r="FK44" s="456"/>
      <c r="FL44" s="456"/>
      <c r="FM44" s="456"/>
      <c r="FN44" s="456"/>
      <c r="FO44" s="456"/>
      <c r="FP44" s="456"/>
      <c r="FQ44" s="456"/>
      <c r="FR44" s="456"/>
      <c r="FS44" s="456"/>
      <c r="FT44" s="456"/>
      <c r="FU44" s="456"/>
      <c r="FV44" s="456"/>
      <c r="FW44" s="456"/>
      <c r="FX44" s="456"/>
      <c r="FY44" s="456"/>
      <c r="FZ44" s="456"/>
      <c r="GA44" s="456"/>
      <c r="GB44" s="456"/>
      <c r="GC44" s="456"/>
      <c r="GD44" s="456"/>
      <c r="GE44" s="456"/>
      <c r="GF44" s="456"/>
      <c r="GG44" s="456"/>
      <c r="GH44" s="456"/>
      <c r="GI44" s="456"/>
      <c r="GJ44" s="457"/>
      <c r="GK44" s="457"/>
      <c r="GL44" s="459"/>
      <c r="GM44" s="456"/>
      <c r="GN44" s="456"/>
      <c r="GO44" s="527"/>
      <c r="GP44" s="456"/>
      <c r="GQ44" s="456"/>
      <c r="GR44" s="456"/>
      <c r="GS44" s="456"/>
      <c r="GT44" s="456"/>
      <c r="GU44" s="456"/>
      <c r="GV44" s="456"/>
      <c r="GW44" s="456"/>
      <c r="GX44" s="456"/>
      <c r="GY44" s="456"/>
      <c r="GZ44" s="456"/>
      <c r="HA44" s="456"/>
      <c r="HB44" s="456"/>
      <c r="HC44" s="456"/>
      <c r="HD44" s="456"/>
      <c r="HE44" s="456"/>
      <c r="HF44" s="456"/>
      <c r="HG44" s="456"/>
      <c r="HH44" s="456"/>
      <c r="HI44" s="456"/>
      <c r="HJ44" s="456"/>
      <c r="HK44" s="456"/>
      <c r="HL44" s="456"/>
      <c r="HM44" s="456"/>
      <c r="HN44" s="456"/>
      <c r="HO44" s="456"/>
      <c r="HP44" s="456"/>
      <c r="HQ44" s="456"/>
      <c r="HR44" s="456"/>
      <c r="HS44" s="456"/>
      <c r="HT44" s="456"/>
      <c r="HU44" s="456"/>
      <c r="HV44" s="456"/>
      <c r="HW44" s="456"/>
      <c r="HX44" s="456"/>
      <c r="HY44" s="456"/>
      <c r="HZ44" s="456"/>
      <c r="IA44" s="456"/>
      <c r="IB44" s="456"/>
      <c r="IC44" s="456"/>
      <c r="ID44" s="456"/>
      <c r="IE44" s="456"/>
      <c r="IF44" s="456"/>
      <c r="IG44" s="456"/>
      <c r="IH44" s="456"/>
      <c r="II44" s="456"/>
      <c r="IJ44" s="456"/>
      <c r="IK44" s="456"/>
      <c r="IL44" s="456"/>
      <c r="IM44" s="456"/>
      <c r="IN44" s="457"/>
      <c r="IO44" s="457"/>
      <c r="IP44" s="456"/>
      <c r="IQ44" s="456"/>
      <c r="IR44" s="456"/>
      <c r="IS44" s="456"/>
      <c r="IT44" s="456"/>
      <c r="IU44" s="456"/>
      <c r="IV44" s="456"/>
      <c r="IW44" s="456"/>
      <c r="IX44" s="456"/>
      <c r="IY44" s="456"/>
      <c r="IZ44" s="456"/>
      <c r="JA44" s="456"/>
      <c r="JB44" s="456"/>
      <c r="JC44" s="456"/>
      <c r="JD44" s="456"/>
      <c r="JE44" s="456"/>
      <c r="JF44" s="456"/>
      <c r="JG44" s="456"/>
      <c r="JH44" s="456"/>
      <c r="JI44" s="456"/>
      <c r="JJ44" s="456"/>
      <c r="JK44" s="456"/>
      <c r="JL44" s="456"/>
      <c r="JM44" s="456"/>
      <c r="JN44" s="456"/>
      <c r="JO44" s="456"/>
      <c r="JP44" s="456"/>
      <c r="JQ44" s="456"/>
      <c r="JR44" s="456"/>
      <c r="JS44" s="456"/>
      <c r="JT44" s="456"/>
      <c r="JU44" s="456"/>
      <c r="JV44" s="456"/>
      <c r="JW44" s="456"/>
      <c r="JX44" s="456"/>
      <c r="JY44" s="456"/>
      <c r="JZ44" s="456"/>
      <c r="KA44" s="456"/>
      <c r="KB44" s="456"/>
      <c r="KC44" s="456"/>
      <c r="KD44" s="456"/>
      <c r="KE44" s="456"/>
      <c r="KF44" s="456"/>
    </row>
    <row r="45" spans="1:292" ht="70" hidden="1" customHeight="1">
      <c r="A45" s="170" t="s">
        <v>152</v>
      </c>
      <c r="B45" s="334"/>
      <c r="C45" s="334" t="s">
        <v>71</v>
      </c>
      <c r="D45" s="334">
        <v>447</v>
      </c>
      <c r="E45" s="334">
        <v>899</v>
      </c>
      <c r="F45" s="335">
        <v>45490</v>
      </c>
      <c r="G45" s="41" t="s">
        <v>120</v>
      </c>
      <c r="H45" s="41"/>
      <c r="I45" s="41" t="s">
        <v>31</v>
      </c>
      <c r="J45" s="150" t="s">
        <v>153</v>
      </c>
      <c r="K45" s="236" t="s">
        <v>33</v>
      </c>
      <c r="L45" s="41" t="s">
        <v>34</v>
      </c>
      <c r="M45" s="36">
        <v>45644</v>
      </c>
      <c r="N45" s="134">
        <v>45836</v>
      </c>
      <c r="O45" s="36">
        <v>45787</v>
      </c>
      <c r="P45" s="526">
        <v>45644</v>
      </c>
      <c r="Q45" s="451">
        <f t="shared" si="11"/>
        <v>45689</v>
      </c>
      <c r="R45" s="452">
        <f t="shared" si="12"/>
        <v>45727</v>
      </c>
      <c r="S45" s="32"/>
      <c r="T45" s="453">
        <v>45787</v>
      </c>
      <c r="U45" s="338">
        <f t="shared" ref="U45:U52" si="14">T45-O45</f>
        <v>0</v>
      </c>
      <c r="V45" s="511" t="s">
        <v>154</v>
      </c>
      <c r="W45" s="75" t="s">
        <v>146</v>
      </c>
      <c r="X45" s="527"/>
      <c r="Y45" s="456"/>
      <c r="Z45" s="456"/>
      <c r="AA45" s="465"/>
      <c r="AB45" s="465"/>
      <c r="AC45" s="465"/>
      <c r="AD45" s="505" t="s">
        <v>150</v>
      </c>
      <c r="AE45" s="505"/>
      <c r="AF45" s="505"/>
      <c r="AG45" s="505"/>
      <c r="AH45" s="506" t="s">
        <v>87</v>
      </c>
      <c r="AI45" s="506"/>
      <c r="AJ45" s="457"/>
      <c r="AK45" s="457"/>
      <c r="AL45" s="506"/>
      <c r="AM45" s="545" t="s">
        <v>81</v>
      </c>
      <c r="AN45" s="507"/>
      <c r="AO45" s="507"/>
      <c r="AP45" s="471" t="s">
        <v>77</v>
      </c>
      <c r="AQ45" s="471"/>
      <c r="AR45" s="471"/>
      <c r="AS45" s="534" t="s">
        <v>31</v>
      </c>
      <c r="AT45" s="473" t="s">
        <v>66</v>
      </c>
      <c r="AU45" s="473"/>
      <c r="AV45" s="473"/>
      <c r="AW45" s="4" t="s">
        <v>67</v>
      </c>
      <c r="AX45" s="4"/>
      <c r="AY45" s="546" t="s">
        <v>155</v>
      </c>
      <c r="AZ45" s="456"/>
      <c r="BA45" s="456"/>
      <c r="BB45" s="456"/>
      <c r="BC45" s="456"/>
      <c r="BD45" s="456"/>
      <c r="BE45" s="456"/>
      <c r="BF45" s="459"/>
      <c r="BG45" s="456"/>
      <c r="BH45" s="456"/>
      <c r="BI45" s="456"/>
      <c r="BJ45" s="456"/>
      <c r="BK45" s="456"/>
      <c r="BL45" s="456"/>
      <c r="BM45" s="456"/>
      <c r="BN45" s="456"/>
      <c r="BO45" s="456"/>
      <c r="BP45" s="456"/>
      <c r="BQ45" s="456"/>
      <c r="BR45" s="456"/>
      <c r="BS45" s="456"/>
      <c r="BT45" s="456"/>
      <c r="BU45" s="456"/>
      <c r="BV45" s="456"/>
      <c r="BW45" s="456"/>
      <c r="BX45" s="456"/>
      <c r="BY45" s="456"/>
      <c r="BZ45" s="456"/>
      <c r="CA45" s="456"/>
      <c r="CB45" s="456"/>
      <c r="CC45" s="456"/>
      <c r="CD45" s="456"/>
      <c r="CE45" s="456"/>
      <c r="CF45" s="456"/>
      <c r="CG45" s="456"/>
      <c r="CH45" s="456"/>
      <c r="CI45" s="456"/>
      <c r="CJ45" s="456"/>
      <c r="CK45" s="456"/>
      <c r="CL45" s="456"/>
      <c r="CM45" s="456"/>
      <c r="CN45" s="457"/>
      <c r="CO45" s="504"/>
      <c r="CP45" s="547"/>
      <c r="CQ45" s="547"/>
      <c r="CR45" s="547"/>
      <c r="CS45" s="547"/>
      <c r="CT45" s="547"/>
      <c r="CU45" s="547"/>
      <c r="CV45" s="547"/>
      <c r="CW45" s="547"/>
      <c r="CX45" s="457"/>
      <c r="CY45" s="547"/>
      <c r="CZ45" s="547"/>
      <c r="DA45" s="456"/>
      <c r="DB45" s="456"/>
      <c r="DC45" s="456"/>
      <c r="DD45" s="456"/>
      <c r="DE45" s="456"/>
      <c r="DF45" s="456"/>
      <c r="DG45" s="456"/>
      <c r="DH45" s="456"/>
      <c r="DI45" s="456"/>
      <c r="DJ45" s="456"/>
      <c r="DK45" s="456"/>
      <c r="DL45" s="456"/>
      <c r="DM45" s="456"/>
      <c r="DN45" s="456"/>
      <c r="DO45" s="456"/>
      <c r="DP45" s="456"/>
      <c r="DQ45" s="456"/>
      <c r="DR45" s="456"/>
      <c r="DS45" s="456"/>
      <c r="DT45" s="456"/>
      <c r="DU45" s="456"/>
      <c r="DV45" s="456"/>
      <c r="DW45" s="456"/>
      <c r="DX45" s="456"/>
      <c r="DY45" s="456"/>
      <c r="DZ45" s="456"/>
      <c r="EA45" s="456"/>
      <c r="EB45" s="456"/>
      <c r="EC45" s="456"/>
      <c r="ED45" s="456"/>
      <c r="EF45" s="456"/>
      <c r="EG45" s="456"/>
      <c r="EH45" s="456"/>
      <c r="EI45" s="456"/>
      <c r="EJ45" s="456"/>
      <c r="EK45" s="456"/>
      <c r="EL45" s="456"/>
      <c r="EM45" s="457"/>
      <c r="EN45" s="456"/>
      <c r="EO45" s="456"/>
      <c r="EP45" s="456"/>
      <c r="EQ45" s="456"/>
      <c r="ER45" s="456"/>
      <c r="ES45" s="456"/>
      <c r="ET45" s="456"/>
      <c r="EU45" s="456"/>
      <c r="EV45" s="456"/>
      <c r="EW45" s="456"/>
      <c r="EX45" s="456"/>
      <c r="EY45" s="456"/>
      <c r="GM45" s="456"/>
      <c r="GN45" s="456"/>
    </row>
    <row r="46" spans="1:292" ht="70" hidden="1" customHeight="1">
      <c r="A46" s="170" t="s">
        <v>156</v>
      </c>
      <c r="B46" s="339"/>
      <c r="C46" s="334"/>
      <c r="D46" s="334"/>
      <c r="E46" s="334"/>
      <c r="F46" s="335">
        <v>45728</v>
      </c>
      <c r="G46" s="41" t="s">
        <v>120</v>
      </c>
      <c r="H46" s="41"/>
      <c r="I46" s="41" t="s">
        <v>157</v>
      </c>
      <c r="J46" s="150" t="s">
        <v>158</v>
      </c>
      <c r="K46" s="236" t="s">
        <v>33</v>
      </c>
      <c r="L46" s="529" t="s">
        <v>34</v>
      </c>
      <c r="M46" s="36">
        <v>45671</v>
      </c>
      <c r="N46" s="134">
        <v>46180</v>
      </c>
      <c r="O46" s="36">
        <v>45815</v>
      </c>
      <c r="P46" s="526">
        <v>45671</v>
      </c>
      <c r="Q46" s="451">
        <f t="shared" si="11"/>
        <v>45716</v>
      </c>
      <c r="R46" s="452">
        <f t="shared" si="12"/>
        <v>45755</v>
      </c>
      <c r="S46" s="32"/>
      <c r="T46" s="453">
        <v>45815</v>
      </c>
      <c r="U46" s="338">
        <f t="shared" si="14"/>
        <v>0</v>
      </c>
      <c r="V46" s="261" t="s">
        <v>159</v>
      </c>
      <c r="W46" s="74" t="s">
        <v>734</v>
      </c>
      <c r="X46" s="527"/>
      <c r="Y46" s="456"/>
      <c r="Z46" s="456"/>
      <c r="AA46" s="456"/>
      <c r="AB46" s="456"/>
      <c r="AC46" s="456"/>
      <c r="AD46" s="456"/>
      <c r="AE46" s="456"/>
      <c r="AF46" s="456"/>
      <c r="AG46" s="456"/>
      <c r="AH46" s="505" t="s">
        <v>150</v>
      </c>
      <c r="AI46" s="505"/>
      <c r="AJ46" s="457"/>
      <c r="AK46" s="457"/>
      <c r="AL46" s="505"/>
      <c r="AM46" s="548"/>
      <c r="AN46" s="506" t="s">
        <v>87</v>
      </c>
      <c r="AO46" s="506"/>
      <c r="AP46" s="506"/>
      <c r="AQ46" s="507" t="s">
        <v>81</v>
      </c>
      <c r="AR46" s="507"/>
      <c r="AS46" s="507"/>
      <c r="AT46" s="471" t="s">
        <v>77</v>
      </c>
      <c r="AU46" s="471"/>
      <c r="AV46" s="471"/>
      <c r="AW46" s="471"/>
      <c r="AX46" s="534" t="s">
        <v>31</v>
      </c>
      <c r="AY46" s="473" t="s">
        <v>66</v>
      </c>
      <c r="AZ46" s="473"/>
      <c r="BA46" s="473"/>
      <c r="BB46" s="6" t="s">
        <v>67</v>
      </c>
      <c r="BC46" s="6"/>
      <c r="BD46" s="458"/>
      <c r="BE46" s="458"/>
      <c r="BF46" s="549" t="s">
        <v>160</v>
      </c>
      <c r="BG46" s="456"/>
      <c r="BH46" s="456"/>
      <c r="BI46" s="456"/>
      <c r="BJ46" s="456"/>
      <c r="BK46" s="456"/>
      <c r="BL46" s="456"/>
      <c r="BM46" s="456"/>
      <c r="BN46" s="456"/>
      <c r="BO46" s="456"/>
      <c r="BP46" s="456"/>
      <c r="BQ46" s="456"/>
      <c r="BR46" s="456"/>
      <c r="BS46" s="456"/>
      <c r="BT46" s="456"/>
      <c r="BU46" s="456"/>
      <c r="BV46" s="456"/>
      <c r="BW46" s="456"/>
      <c r="BX46" s="456"/>
      <c r="BY46" s="456"/>
      <c r="BZ46" s="456"/>
      <c r="CA46" s="456"/>
      <c r="CB46" s="456"/>
      <c r="CC46" s="456"/>
      <c r="CD46" s="456"/>
      <c r="CE46" s="456"/>
      <c r="CF46" s="456"/>
      <c r="CG46" s="456"/>
      <c r="CH46" s="456"/>
      <c r="CI46" s="456"/>
      <c r="CJ46" s="456"/>
      <c r="CK46" s="456"/>
      <c r="CL46" s="456"/>
      <c r="CM46" s="456"/>
      <c r="CN46" s="457"/>
      <c r="CO46" s="457"/>
      <c r="CP46" s="456"/>
      <c r="CQ46" s="456"/>
      <c r="CR46" s="456"/>
      <c r="CS46" s="456"/>
      <c r="CT46" s="456"/>
      <c r="CU46" s="456"/>
      <c r="CV46" s="456"/>
      <c r="CW46" s="456"/>
      <c r="CX46" s="457"/>
      <c r="CY46" s="456"/>
      <c r="CZ46" s="456"/>
      <c r="DA46" s="456"/>
      <c r="DB46" s="456"/>
      <c r="DC46" s="456"/>
      <c r="DD46" s="456"/>
      <c r="DE46" s="456"/>
      <c r="DF46" s="456"/>
      <c r="DG46" s="456"/>
      <c r="DH46" s="456"/>
      <c r="DI46" s="456"/>
      <c r="DJ46" s="456"/>
      <c r="DK46" s="456"/>
      <c r="DL46" s="456"/>
      <c r="DM46" s="456"/>
      <c r="DN46" s="456"/>
      <c r="DO46" s="456"/>
      <c r="DP46" s="456"/>
      <c r="DQ46" s="456"/>
      <c r="DR46" s="456"/>
      <c r="DS46" s="456"/>
      <c r="DT46" s="456"/>
      <c r="DU46" s="456"/>
      <c r="DV46" s="456"/>
      <c r="DW46" s="456"/>
      <c r="DX46" s="456"/>
      <c r="DY46" s="456"/>
      <c r="DZ46" s="456"/>
      <c r="EA46" s="456"/>
      <c r="EB46" s="456"/>
      <c r="EC46" s="456"/>
      <c r="ED46" s="456"/>
      <c r="EF46" s="456"/>
      <c r="EG46" s="456"/>
      <c r="EH46" s="456"/>
      <c r="EI46" s="456"/>
      <c r="EJ46" s="456"/>
      <c r="EK46" s="456"/>
      <c r="EL46" s="456"/>
      <c r="EM46" s="457"/>
      <c r="EN46" s="456"/>
      <c r="EO46" s="456"/>
      <c r="EP46" s="456"/>
      <c r="EQ46" s="456"/>
      <c r="ER46" s="456"/>
      <c r="ES46" s="456"/>
      <c r="ET46" s="456"/>
      <c r="EU46" s="456"/>
      <c r="EV46" s="456"/>
      <c r="EW46" s="456"/>
      <c r="EX46" s="456"/>
      <c r="EY46" s="456"/>
      <c r="GM46" s="456"/>
      <c r="GN46" s="456"/>
    </row>
    <row r="47" spans="1:292" ht="70" hidden="1" customHeight="1">
      <c r="A47" s="170" t="s">
        <v>161</v>
      </c>
      <c r="B47" s="339">
        <v>732</v>
      </c>
      <c r="C47" s="334" t="s">
        <v>71</v>
      </c>
      <c r="D47" s="334">
        <v>163</v>
      </c>
      <c r="E47" s="334">
        <v>202</v>
      </c>
      <c r="F47" s="335">
        <v>45491</v>
      </c>
      <c r="G47" s="41" t="s">
        <v>120</v>
      </c>
      <c r="H47" s="41"/>
      <c r="I47" s="41" t="s">
        <v>162</v>
      </c>
      <c r="J47" s="150" t="s">
        <v>751</v>
      </c>
      <c r="K47" s="236" t="s">
        <v>33</v>
      </c>
      <c r="L47" s="528" t="s">
        <v>73</v>
      </c>
      <c r="M47" s="36">
        <v>45706</v>
      </c>
      <c r="N47" s="134">
        <v>45843</v>
      </c>
      <c r="O47" s="36">
        <v>45843</v>
      </c>
      <c r="P47" s="526">
        <v>45706</v>
      </c>
      <c r="Q47" s="451">
        <f t="shared" si="11"/>
        <v>45751</v>
      </c>
      <c r="R47" s="452">
        <f t="shared" si="12"/>
        <v>45783</v>
      </c>
      <c r="S47" s="32" t="s">
        <v>122</v>
      </c>
      <c r="T47" s="453">
        <v>45843</v>
      </c>
      <c r="U47" s="338">
        <f t="shared" si="14"/>
        <v>0</v>
      </c>
      <c r="V47" s="260" t="s">
        <v>163</v>
      </c>
      <c r="W47" s="74" t="s">
        <v>164</v>
      </c>
      <c r="X47" s="453"/>
      <c r="Y47" s="456"/>
      <c r="Z47" s="456"/>
      <c r="AA47" s="465"/>
      <c r="AB47" s="465"/>
      <c r="AC47" s="465"/>
      <c r="AD47" s="465"/>
      <c r="AE47" s="465"/>
      <c r="AF47" s="456"/>
      <c r="AG47" s="456"/>
      <c r="AH47" s="340"/>
      <c r="AI47" s="465"/>
      <c r="AJ47" s="457"/>
      <c r="AK47" s="457"/>
      <c r="AL47" s="456"/>
      <c r="AN47" s="505" t="s">
        <v>150</v>
      </c>
      <c r="AO47" s="505"/>
      <c r="AP47" s="505"/>
      <c r="AQ47" s="506" t="s">
        <v>87</v>
      </c>
      <c r="AR47" s="506"/>
      <c r="AS47" s="506"/>
      <c r="AT47" s="507" t="s">
        <v>81</v>
      </c>
      <c r="AU47" s="507"/>
      <c r="AV47" s="507"/>
      <c r="AW47" s="507"/>
      <c r="AX47" s="471" t="s">
        <v>77</v>
      </c>
      <c r="AY47" s="471"/>
      <c r="AZ47" s="471"/>
      <c r="BA47" s="534" t="s">
        <v>31</v>
      </c>
      <c r="BB47" s="535" t="s">
        <v>66</v>
      </c>
      <c r="BC47" s="535"/>
      <c r="BD47" s="535"/>
      <c r="BE47" s="535"/>
      <c r="BF47" s="4" t="s">
        <v>67</v>
      </c>
      <c r="BG47" s="4"/>
      <c r="BH47" s="550" t="s">
        <v>165</v>
      </c>
      <c r="BI47" s="516" t="s">
        <v>130</v>
      </c>
      <c r="BJ47" s="456"/>
      <c r="BK47" s="456"/>
      <c r="BL47" s="456"/>
      <c r="BM47" s="456"/>
      <c r="BN47" s="456"/>
      <c r="BO47" s="456"/>
      <c r="BP47" s="456"/>
      <c r="BQ47" s="456"/>
      <c r="BR47" s="456"/>
      <c r="BS47" s="456"/>
      <c r="BT47" s="456"/>
      <c r="BU47" s="456"/>
      <c r="BV47" s="456"/>
      <c r="BW47" s="456"/>
      <c r="BX47" s="456"/>
      <c r="BY47" s="456"/>
      <c r="BZ47" s="456"/>
      <c r="CA47" s="456"/>
      <c r="CB47" s="456"/>
      <c r="CC47" s="456"/>
      <c r="CD47" s="456"/>
      <c r="CE47" s="456"/>
      <c r="CF47" s="456"/>
      <c r="CG47" s="456"/>
      <c r="CH47" s="456"/>
      <c r="CI47" s="456"/>
      <c r="CJ47" s="456"/>
      <c r="CK47" s="456"/>
      <c r="CL47" s="456"/>
      <c r="CM47" s="456"/>
      <c r="CN47" s="457"/>
      <c r="CO47" s="457"/>
      <c r="CP47" s="456"/>
      <c r="CQ47" s="456"/>
      <c r="CR47" s="456"/>
      <c r="CS47" s="456"/>
      <c r="CT47" s="456"/>
      <c r="CU47" s="456"/>
      <c r="CV47" s="456"/>
      <c r="CW47" s="456"/>
      <c r="CX47" s="457"/>
      <c r="CY47" s="456"/>
      <c r="CZ47" s="456"/>
      <c r="DA47" s="456"/>
      <c r="DB47" s="456"/>
      <c r="DC47" s="456"/>
      <c r="DD47" s="456"/>
      <c r="DE47" s="456"/>
      <c r="DF47" s="456"/>
      <c r="DG47" s="456"/>
      <c r="DH47" s="456"/>
      <c r="DI47" s="456"/>
      <c r="DJ47" s="456"/>
      <c r="DK47" s="456"/>
      <c r="DL47" s="456"/>
      <c r="DM47" s="456"/>
      <c r="DN47" s="456"/>
      <c r="DO47" s="456"/>
      <c r="DP47" s="456"/>
      <c r="DQ47" s="456"/>
      <c r="DR47" s="456"/>
      <c r="DS47" s="456"/>
      <c r="DT47" s="456"/>
      <c r="DU47" s="456"/>
      <c r="DV47" s="456"/>
      <c r="DW47" s="456"/>
      <c r="DX47" s="456"/>
      <c r="DY47" s="456"/>
      <c r="DZ47" s="456"/>
      <c r="EA47" s="456"/>
      <c r="EB47" s="456"/>
      <c r="EC47" s="456"/>
      <c r="ED47" s="456"/>
      <c r="EF47" s="456"/>
      <c r="EG47" s="456"/>
      <c r="EH47" s="456"/>
      <c r="EI47" s="456"/>
      <c r="EJ47" s="456"/>
      <c r="EK47" s="456"/>
      <c r="EL47" s="456"/>
      <c r="EM47" s="457"/>
      <c r="EN47" s="456"/>
      <c r="EO47" s="456"/>
      <c r="EP47" s="456"/>
      <c r="EQ47" s="456"/>
      <c r="ER47" s="456"/>
      <c r="ES47" s="456"/>
      <c r="ET47" s="456"/>
      <c r="EU47" s="456"/>
      <c r="EV47" s="456"/>
      <c r="EW47" s="456"/>
      <c r="EX47" s="456"/>
      <c r="EY47" s="456"/>
      <c r="GM47" s="456"/>
      <c r="GN47" s="456"/>
    </row>
    <row r="48" spans="1:292" ht="70" hidden="1" customHeight="1">
      <c r="A48" s="170" t="s">
        <v>166</v>
      </c>
      <c r="B48" s="339">
        <v>733</v>
      </c>
      <c r="C48" s="341" t="s">
        <v>167</v>
      </c>
      <c r="D48" s="334">
        <v>37</v>
      </c>
      <c r="E48" s="334">
        <v>7</v>
      </c>
      <c r="F48" s="335">
        <v>45575</v>
      </c>
      <c r="G48" s="41" t="s">
        <v>120</v>
      </c>
      <c r="H48" s="41"/>
      <c r="I48" s="41" t="s">
        <v>132</v>
      </c>
      <c r="J48" s="150" t="s">
        <v>168</v>
      </c>
      <c r="K48" s="236" t="s">
        <v>33</v>
      </c>
      <c r="L48" s="528" t="s">
        <v>73</v>
      </c>
      <c r="M48" s="36">
        <v>45728</v>
      </c>
      <c r="N48" s="134">
        <v>45988</v>
      </c>
      <c r="O48" s="36">
        <v>45871</v>
      </c>
      <c r="P48" s="526">
        <v>45728</v>
      </c>
      <c r="Q48" s="451">
        <f t="shared" si="11"/>
        <v>45773</v>
      </c>
      <c r="R48" s="452">
        <f t="shared" si="12"/>
        <v>45811</v>
      </c>
      <c r="S48" s="32" t="s">
        <v>122</v>
      </c>
      <c r="T48" s="208">
        <v>45871</v>
      </c>
      <c r="U48" s="338">
        <f t="shared" si="14"/>
        <v>0</v>
      </c>
      <c r="V48" s="262" t="s">
        <v>749</v>
      </c>
      <c r="W48" s="75" t="s">
        <v>146</v>
      </c>
      <c r="X48" s="527"/>
      <c r="Y48" s="456"/>
      <c r="Z48" s="456"/>
      <c r="AA48" s="456"/>
      <c r="AB48" s="456"/>
      <c r="AC48" s="456"/>
      <c r="AD48" s="456"/>
      <c r="AE48" s="456"/>
      <c r="AF48" s="456"/>
      <c r="AG48" s="456"/>
      <c r="AH48" s="456"/>
      <c r="AI48" s="456"/>
      <c r="AJ48" s="457"/>
      <c r="AK48" s="457"/>
      <c r="AL48" s="456"/>
      <c r="AM48" s="551"/>
      <c r="AN48" s="465"/>
      <c r="AO48" s="465"/>
      <c r="AP48" s="456"/>
      <c r="AQ48" s="505" t="s">
        <v>150</v>
      </c>
      <c r="AR48" s="505"/>
      <c r="AS48" s="505"/>
      <c r="AT48" s="505"/>
      <c r="AU48" s="506" t="s">
        <v>87</v>
      </c>
      <c r="AV48" s="506"/>
      <c r="AW48" s="506"/>
      <c r="AX48" s="507" t="s">
        <v>81</v>
      </c>
      <c r="AY48" s="507"/>
      <c r="AZ48" s="507"/>
      <c r="BA48" s="507"/>
      <c r="BB48" s="472" t="s">
        <v>77</v>
      </c>
      <c r="BC48" s="472"/>
      <c r="BD48" s="472"/>
      <c r="BE48" s="472"/>
      <c r="BF48" s="473" t="s">
        <v>66</v>
      </c>
      <c r="BG48" s="473"/>
      <c r="BH48" s="473"/>
      <c r="BI48" s="473"/>
      <c r="BJ48" s="4" t="s">
        <v>67</v>
      </c>
      <c r="BK48" s="4"/>
      <c r="BL48" s="516" t="s">
        <v>130</v>
      </c>
      <c r="BM48" s="456"/>
      <c r="BN48" s="456"/>
      <c r="BO48" s="456"/>
      <c r="BP48" s="456"/>
      <c r="BQ48" s="456"/>
      <c r="BR48" s="456"/>
      <c r="BS48" s="456"/>
      <c r="BT48" s="456"/>
      <c r="BU48" s="456"/>
      <c r="BV48" s="456"/>
      <c r="BW48" s="456"/>
      <c r="BX48" s="456"/>
      <c r="BY48" s="456"/>
      <c r="BZ48" s="456"/>
      <c r="CA48" s="456"/>
      <c r="CB48" s="456"/>
      <c r="CC48" s="456"/>
      <c r="CD48" s="456"/>
      <c r="CE48" s="456"/>
      <c r="CF48" s="456"/>
      <c r="CG48" s="456"/>
      <c r="CH48" s="456"/>
      <c r="CI48" s="456"/>
      <c r="CJ48" s="456"/>
      <c r="CK48" s="456"/>
      <c r="CL48" s="456"/>
      <c r="CM48" s="456"/>
      <c r="CN48" s="457"/>
      <c r="CO48" s="457"/>
      <c r="CP48" s="456"/>
      <c r="CQ48" s="456"/>
      <c r="CR48" s="456"/>
      <c r="CS48" s="456"/>
      <c r="CT48" s="456"/>
      <c r="CU48" s="456"/>
      <c r="CV48" s="456"/>
      <c r="CW48" s="456"/>
      <c r="CX48" s="457"/>
      <c r="CY48" s="456"/>
      <c r="CZ48" s="456"/>
      <c r="DA48" s="456"/>
      <c r="DB48" s="456"/>
      <c r="DC48" s="456"/>
      <c r="DD48" s="456"/>
      <c r="DE48" s="456"/>
      <c r="DF48" s="456"/>
      <c r="DG48" s="456"/>
      <c r="DH48" s="456"/>
      <c r="DI48" s="456"/>
      <c r="DJ48" s="456"/>
      <c r="DK48" s="456"/>
      <c r="DL48" s="456"/>
      <c r="DM48" s="456"/>
      <c r="DN48" s="456"/>
      <c r="DO48" s="456"/>
      <c r="DP48" s="456"/>
      <c r="DQ48" s="456"/>
      <c r="DR48" s="456"/>
      <c r="DS48" s="456"/>
      <c r="DT48" s="456"/>
      <c r="DU48" s="456"/>
      <c r="DV48" s="456"/>
      <c r="DW48" s="456"/>
      <c r="DX48" s="456"/>
      <c r="DY48" s="456"/>
      <c r="DZ48" s="456"/>
      <c r="EA48" s="456"/>
      <c r="EB48" s="456"/>
      <c r="EC48" s="456"/>
      <c r="ED48" s="456"/>
      <c r="EF48" s="456"/>
      <c r="EG48" s="456"/>
      <c r="EH48" s="456"/>
      <c r="EI48" s="456"/>
      <c r="EJ48" s="456"/>
      <c r="EK48" s="456"/>
      <c r="EL48" s="456"/>
      <c r="EM48" s="457"/>
      <c r="EN48" s="456"/>
      <c r="EO48" s="456"/>
      <c r="EP48" s="456"/>
      <c r="EQ48" s="456"/>
      <c r="ER48" s="456"/>
      <c r="ES48" s="456"/>
      <c r="ET48" s="456"/>
      <c r="EU48" s="456"/>
      <c r="EV48" s="456"/>
      <c r="EW48" s="456"/>
      <c r="EX48" s="456"/>
      <c r="EY48" s="456"/>
      <c r="GM48" s="456"/>
      <c r="GN48" s="456"/>
    </row>
    <row r="49" spans="1:292" ht="70" hidden="1" customHeight="1">
      <c r="A49" s="168" t="s">
        <v>169</v>
      </c>
      <c r="B49" s="339"/>
      <c r="C49" s="334" t="s">
        <v>71</v>
      </c>
      <c r="D49" s="334">
        <v>21</v>
      </c>
      <c r="E49" s="334">
        <v>1</v>
      </c>
      <c r="F49" s="335">
        <v>45583</v>
      </c>
      <c r="G49" s="41" t="s">
        <v>120</v>
      </c>
      <c r="H49" s="41"/>
      <c r="I49" s="41" t="s">
        <v>31</v>
      </c>
      <c r="J49" s="150" t="s">
        <v>170</v>
      </c>
      <c r="K49" s="236" t="s">
        <v>33</v>
      </c>
      <c r="L49" s="41" t="s">
        <v>34</v>
      </c>
      <c r="M49" s="36">
        <v>45852</v>
      </c>
      <c r="N49" s="134">
        <v>46048</v>
      </c>
      <c r="O49" s="36">
        <v>45899</v>
      </c>
      <c r="P49" s="526">
        <v>45756</v>
      </c>
      <c r="Q49" s="451">
        <f t="shared" si="11"/>
        <v>45801</v>
      </c>
      <c r="R49" s="452">
        <f t="shared" si="12"/>
        <v>45853</v>
      </c>
      <c r="S49" s="32" t="s">
        <v>122</v>
      </c>
      <c r="T49" s="552">
        <v>45913</v>
      </c>
      <c r="U49" s="336">
        <f t="shared" si="14"/>
        <v>14</v>
      </c>
      <c r="V49" s="262" t="s">
        <v>171</v>
      </c>
      <c r="W49" s="75" t="s">
        <v>146</v>
      </c>
      <c r="X49" s="551"/>
      <c r="Y49" s="465"/>
      <c r="Z49" s="465"/>
      <c r="AA49" s="456"/>
      <c r="AB49" s="456"/>
      <c r="AC49" s="456"/>
      <c r="AD49" s="456"/>
      <c r="AE49" s="456"/>
      <c r="AF49" s="456"/>
      <c r="AG49" s="456"/>
      <c r="AH49" s="456"/>
      <c r="AI49" s="456"/>
      <c r="AJ49" s="457"/>
      <c r="AK49" s="457"/>
      <c r="AL49" s="456"/>
      <c r="AM49" s="551"/>
      <c r="AN49" s="2"/>
      <c r="AO49" s="2"/>
      <c r="AP49" s="456"/>
      <c r="AQ49" s="465"/>
      <c r="AR49" s="465"/>
      <c r="AS49" s="456"/>
      <c r="AT49" s="456"/>
      <c r="AU49" s="505" t="s">
        <v>150</v>
      </c>
      <c r="AV49" s="505"/>
      <c r="AW49" s="505"/>
      <c r="AX49" s="506" t="s">
        <v>87</v>
      </c>
      <c r="AY49" s="506"/>
      <c r="AZ49" s="506"/>
      <c r="BA49" s="506"/>
      <c r="BB49" s="515" t="s">
        <v>81</v>
      </c>
      <c r="BC49" s="515"/>
      <c r="BD49" s="515"/>
      <c r="BE49" s="515"/>
      <c r="BF49" s="471" t="s">
        <v>77</v>
      </c>
      <c r="BG49" s="471"/>
      <c r="BH49" s="471"/>
      <c r="BI49" s="471"/>
      <c r="BJ49" s="471"/>
      <c r="BK49" s="473" t="s">
        <v>66</v>
      </c>
      <c r="BL49" s="473"/>
      <c r="BM49" s="473"/>
      <c r="BN49" s="473"/>
      <c r="BO49" s="473"/>
      <c r="BP49" s="4" t="s">
        <v>67</v>
      </c>
      <c r="BQ49" s="4"/>
      <c r="BR49" s="456"/>
      <c r="BS49" s="456"/>
      <c r="BT49" s="456"/>
      <c r="BU49" s="456"/>
      <c r="BV49" s="456"/>
      <c r="BW49" s="456"/>
      <c r="BX49" s="456"/>
      <c r="BY49" s="456"/>
      <c r="BZ49" s="456"/>
      <c r="CA49" s="456"/>
      <c r="CB49" s="456"/>
      <c r="CC49" s="456"/>
      <c r="CD49" s="456"/>
      <c r="CE49" s="456"/>
      <c r="CF49" s="456"/>
      <c r="CG49" s="456"/>
      <c r="CH49" s="456"/>
      <c r="CI49" s="456"/>
      <c r="CJ49" s="456"/>
      <c r="CK49" s="456"/>
      <c r="CL49" s="456"/>
      <c r="CM49" s="456"/>
      <c r="CN49" s="457"/>
      <c r="CO49" s="457"/>
      <c r="CP49" s="456"/>
      <c r="CQ49" s="456"/>
      <c r="CR49" s="456"/>
      <c r="CS49" s="456"/>
      <c r="CT49" s="456"/>
      <c r="CU49" s="456"/>
      <c r="CV49" s="456"/>
      <c r="CW49" s="456"/>
      <c r="CX49" s="457"/>
      <c r="CY49" s="456"/>
      <c r="CZ49" s="456"/>
      <c r="DA49" s="456"/>
      <c r="DB49" s="456"/>
      <c r="DC49" s="456"/>
      <c r="DD49" s="456"/>
      <c r="DE49" s="456"/>
      <c r="DF49" s="456"/>
      <c r="DG49" s="456"/>
      <c r="DH49" s="456"/>
      <c r="DI49" s="456"/>
      <c r="DJ49" s="456"/>
      <c r="DK49" s="456"/>
      <c r="DL49" s="456"/>
      <c r="DM49" s="456"/>
      <c r="DN49" s="456"/>
      <c r="DO49" s="456"/>
      <c r="DP49" s="456"/>
      <c r="DQ49" s="456"/>
      <c r="DR49" s="456"/>
      <c r="DS49" s="456"/>
      <c r="DT49" s="456"/>
      <c r="DU49" s="456"/>
      <c r="DV49" s="456"/>
      <c r="DW49" s="456"/>
      <c r="DX49" s="456"/>
      <c r="DY49" s="456"/>
      <c r="DZ49" s="456"/>
      <c r="EA49" s="456"/>
      <c r="EB49" s="456"/>
      <c r="EC49" s="456"/>
      <c r="ED49" s="456"/>
      <c r="EF49" s="456"/>
      <c r="EG49" s="456"/>
      <c r="EH49" s="456"/>
      <c r="EI49" s="456"/>
      <c r="EJ49" s="456"/>
      <c r="EK49" s="456"/>
      <c r="EL49" s="456"/>
      <c r="EM49" s="457"/>
      <c r="EN49" s="456"/>
      <c r="EO49" s="456"/>
      <c r="EP49" s="456"/>
      <c r="EQ49" s="456"/>
      <c r="ER49" s="456"/>
      <c r="ES49" s="456"/>
      <c r="ET49" s="456"/>
      <c r="EU49" s="456"/>
      <c r="EV49" s="456"/>
      <c r="EW49" s="456"/>
      <c r="EX49" s="456"/>
      <c r="EY49" s="456"/>
      <c r="GM49" s="456"/>
      <c r="GN49" s="456"/>
    </row>
    <row r="50" spans="1:292" ht="70" hidden="1" customHeight="1">
      <c r="A50" s="170" t="s">
        <v>172</v>
      </c>
      <c r="B50" s="339"/>
      <c r="C50" s="341" t="s">
        <v>167</v>
      </c>
      <c r="D50" s="334">
        <v>11</v>
      </c>
      <c r="E50" s="334">
        <v>1</v>
      </c>
      <c r="F50" s="337" t="s">
        <v>173</v>
      </c>
      <c r="G50" s="41" t="s">
        <v>120</v>
      </c>
      <c r="H50" s="41"/>
      <c r="I50" s="41" t="s">
        <v>174</v>
      </c>
      <c r="J50" s="553" t="s">
        <v>175</v>
      </c>
      <c r="K50" s="236" t="s">
        <v>33</v>
      </c>
      <c r="L50" s="321" t="s">
        <v>73</v>
      </c>
      <c r="M50" s="36">
        <v>45805</v>
      </c>
      <c r="N50" s="135">
        <v>45934</v>
      </c>
      <c r="O50" s="36">
        <v>45927</v>
      </c>
      <c r="P50" s="526">
        <v>45777</v>
      </c>
      <c r="Q50" s="451">
        <f t="shared" si="11"/>
        <v>45822</v>
      </c>
      <c r="R50" s="452">
        <f t="shared" si="12"/>
        <v>45888</v>
      </c>
      <c r="S50" s="32" t="s">
        <v>122</v>
      </c>
      <c r="T50" s="453">
        <v>45948</v>
      </c>
      <c r="U50" s="336">
        <f t="shared" si="14"/>
        <v>21</v>
      </c>
      <c r="V50" s="262" t="s">
        <v>750</v>
      </c>
      <c r="W50" s="75" t="s">
        <v>176</v>
      </c>
      <c r="X50" s="551"/>
      <c r="Y50" s="465"/>
      <c r="Z50" s="465"/>
      <c r="AA50" s="342"/>
      <c r="AB50" s="342"/>
      <c r="AC50" s="342"/>
      <c r="AD50" s="342"/>
      <c r="AE50" s="465"/>
      <c r="AF50" s="456"/>
      <c r="AG50" s="456"/>
      <c r="AH50" s="340"/>
      <c r="AI50" s="465"/>
      <c r="AJ50" s="457"/>
      <c r="AK50" s="457"/>
      <c r="AL50" s="456"/>
      <c r="AM50" s="551"/>
      <c r="AN50" s="2"/>
      <c r="AO50" s="2"/>
      <c r="AP50" s="456"/>
      <c r="AQ50" s="465"/>
      <c r="AR50" s="465"/>
      <c r="AS50" s="456"/>
      <c r="AT50" s="456"/>
      <c r="AU50" s="465"/>
      <c r="AV50" s="343"/>
      <c r="AW50" s="465"/>
      <c r="AX50" s="505" t="s">
        <v>150</v>
      </c>
      <c r="AY50" s="505"/>
      <c r="AZ50" s="505"/>
      <c r="BA50" s="505"/>
      <c r="BB50" s="514" t="s">
        <v>87</v>
      </c>
      <c r="BC50" s="514"/>
      <c r="BD50" s="514"/>
      <c r="BE50" s="514"/>
      <c r="BF50" s="515" t="s">
        <v>81</v>
      </c>
      <c r="BG50" s="515"/>
      <c r="BH50" s="515"/>
      <c r="BI50" s="515"/>
      <c r="BJ50" s="515"/>
      <c r="BK50" s="472" t="s">
        <v>77</v>
      </c>
      <c r="BL50" s="472"/>
      <c r="BM50" s="472"/>
      <c r="BN50" s="472"/>
      <c r="BO50" s="472"/>
      <c r="BP50" s="473" t="s">
        <v>66</v>
      </c>
      <c r="BQ50" s="473"/>
      <c r="BR50" s="473"/>
      <c r="BS50" s="473"/>
      <c r="BT50" s="473"/>
      <c r="BU50" s="4" t="s">
        <v>67</v>
      </c>
      <c r="BV50" s="4"/>
      <c r="BW50" s="516" t="s">
        <v>130</v>
      </c>
      <c r="BX50" s="456"/>
      <c r="BY50" s="456"/>
      <c r="BZ50" s="456"/>
      <c r="CA50" s="456"/>
      <c r="CB50" s="456"/>
      <c r="CC50" s="456"/>
      <c r="CD50" s="456"/>
      <c r="CE50" s="456"/>
      <c r="CF50" s="456"/>
      <c r="CG50" s="456"/>
      <c r="CH50" s="456"/>
      <c r="CI50" s="456"/>
      <c r="CJ50" s="456"/>
      <c r="CK50" s="456"/>
      <c r="CL50" s="456"/>
      <c r="CM50" s="456"/>
      <c r="CN50" s="457"/>
      <c r="CO50" s="457"/>
      <c r="CP50" s="456"/>
      <c r="CQ50" s="456"/>
      <c r="CR50" s="456"/>
      <c r="CS50" s="456"/>
      <c r="CT50" s="456"/>
      <c r="CU50" s="456"/>
      <c r="CV50" s="456"/>
      <c r="CW50" s="456"/>
      <c r="CX50" s="457"/>
      <c r="CY50" s="456"/>
      <c r="CZ50" s="456"/>
      <c r="DA50" s="456"/>
      <c r="DB50" s="456"/>
      <c r="DC50" s="456"/>
      <c r="DD50" s="456"/>
      <c r="DE50" s="456"/>
      <c r="DF50" s="456"/>
      <c r="DG50" s="456"/>
      <c r="DH50" s="456"/>
      <c r="DI50" s="456"/>
      <c r="DJ50" s="456"/>
      <c r="DK50" s="456"/>
      <c r="DL50" s="456"/>
      <c r="DM50" s="456"/>
      <c r="DN50" s="456"/>
      <c r="DO50" s="456"/>
      <c r="DP50" s="456"/>
      <c r="DQ50" s="456"/>
      <c r="DR50" s="456"/>
      <c r="DS50" s="456"/>
      <c r="DT50" s="456"/>
      <c r="DU50" s="456"/>
      <c r="DV50" s="456"/>
      <c r="DW50" s="456"/>
      <c r="DX50" s="456"/>
      <c r="DY50" s="456"/>
      <c r="DZ50" s="456"/>
      <c r="EA50" s="456"/>
      <c r="EB50" s="456"/>
      <c r="EC50" s="456"/>
      <c r="ED50" s="456"/>
      <c r="EF50" s="456"/>
      <c r="EG50" s="456"/>
      <c r="EH50" s="456"/>
      <c r="EI50" s="456"/>
      <c r="EJ50" s="456"/>
      <c r="EK50" s="456"/>
      <c r="EL50" s="456"/>
      <c r="EM50" s="457"/>
      <c r="EN50" s="456"/>
      <c r="EO50" s="456"/>
      <c r="EP50" s="456"/>
      <c r="EQ50" s="456"/>
      <c r="ER50" s="456"/>
      <c r="ES50" s="456"/>
      <c r="ET50" s="456"/>
      <c r="EU50" s="456"/>
      <c r="EV50" s="456"/>
      <c r="EW50" s="456"/>
      <c r="EX50" s="456"/>
      <c r="EY50" s="456"/>
      <c r="GM50" s="456"/>
      <c r="GN50" s="456"/>
    </row>
    <row r="51" spans="1:292" ht="70" hidden="1" customHeight="1">
      <c r="A51" s="170" t="s">
        <v>177</v>
      </c>
      <c r="B51" s="334"/>
      <c r="C51" s="341" t="s">
        <v>167</v>
      </c>
      <c r="D51" s="334">
        <v>373</v>
      </c>
      <c r="E51" s="334">
        <v>667</v>
      </c>
      <c r="F51" s="335">
        <v>45814</v>
      </c>
      <c r="G51" s="41" t="s">
        <v>120</v>
      </c>
      <c r="H51" s="41"/>
      <c r="I51" s="41" t="s">
        <v>174</v>
      </c>
      <c r="J51" s="150" t="s">
        <v>178</v>
      </c>
      <c r="K51" s="236" t="s">
        <v>33</v>
      </c>
      <c r="L51" s="41" t="s">
        <v>34</v>
      </c>
      <c r="M51" s="61">
        <v>46147</v>
      </c>
      <c r="N51" s="134">
        <v>46300</v>
      </c>
      <c r="O51" s="61">
        <v>46180</v>
      </c>
      <c r="P51" s="526">
        <v>45805</v>
      </c>
      <c r="Q51" s="451">
        <f t="shared" si="11"/>
        <v>45850</v>
      </c>
      <c r="R51" s="452">
        <f t="shared" si="12"/>
        <v>45937</v>
      </c>
      <c r="S51" s="32" t="s">
        <v>122</v>
      </c>
      <c r="T51" s="453">
        <v>45997</v>
      </c>
      <c r="U51" s="336">
        <f t="shared" si="14"/>
        <v>-183</v>
      </c>
      <c r="V51" s="262" t="s">
        <v>492</v>
      </c>
      <c r="W51" s="75" t="s">
        <v>179</v>
      </c>
      <c r="X51" s="551"/>
      <c r="Y51" s="465"/>
      <c r="Z51" s="465"/>
      <c r="AA51" s="342"/>
      <c r="AB51" s="342"/>
      <c r="AC51" s="342"/>
      <c r="AD51" s="342"/>
      <c r="AE51" s="465"/>
      <c r="AF51" s="456"/>
      <c r="AG51" s="456"/>
      <c r="AH51" s="340"/>
      <c r="AI51" s="465"/>
      <c r="AJ51" s="457"/>
      <c r="AK51" s="457"/>
      <c r="AL51" s="456"/>
      <c r="AM51" s="551"/>
      <c r="AN51" s="465"/>
      <c r="AO51" s="465"/>
      <c r="AP51" s="456"/>
      <c r="AQ51" s="465"/>
      <c r="AR51" s="465"/>
      <c r="AS51" s="465"/>
      <c r="AT51" s="465"/>
      <c r="AU51" s="465"/>
      <c r="AV51" s="465"/>
      <c r="AW51" s="465"/>
      <c r="AX51" s="465"/>
      <c r="AY51" s="465"/>
      <c r="AZ51" s="465"/>
      <c r="BA51" s="465"/>
      <c r="BB51" s="501" t="s">
        <v>91</v>
      </c>
      <c r="BC51" s="513"/>
      <c r="BD51" s="513"/>
      <c r="BE51" s="513"/>
      <c r="BF51" s="505"/>
      <c r="BG51" s="506" t="s">
        <v>87</v>
      </c>
      <c r="BH51" s="514"/>
      <c r="BI51" s="514"/>
      <c r="BJ51" s="514"/>
      <c r="BK51" s="514"/>
      <c r="BL51" s="515" t="s">
        <v>81</v>
      </c>
      <c r="BM51" s="515"/>
      <c r="BN51" s="515"/>
      <c r="BO51" s="515"/>
      <c r="BP51" s="515"/>
      <c r="BQ51" s="471" t="s">
        <v>77</v>
      </c>
      <c r="BR51" s="471"/>
      <c r="BS51" s="471"/>
      <c r="BT51" s="471"/>
      <c r="BU51" s="471"/>
      <c r="BV51" s="471"/>
      <c r="BW51" s="473" t="s">
        <v>66</v>
      </c>
      <c r="BX51" s="473"/>
      <c r="BY51" s="473"/>
      <c r="BZ51" s="473"/>
      <c r="CA51" s="473"/>
      <c r="CB51" s="4" t="s">
        <v>67</v>
      </c>
      <c r="CC51" s="4"/>
      <c r="CD51" s="456"/>
      <c r="CE51" s="456"/>
      <c r="CF51" s="456"/>
      <c r="CG51" s="456"/>
      <c r="CH51" s="456"/>
      <c r="CI51" s="456"/>
      <c r="CJ51" s="456"/>
      <c r="CK51" s="456"/>
      <c r="CL51" s="456"/>
      <c r="CM51" s="457"/>
      <c r="CN51" s="457"/>
      <c r="CO51" s="456"/>
      <c r="CP51" s="456"/>
      <c r="CQ51" s="456"/>
      <c r="CR51" s="456"/>
      <c r="CS51" s="456"/>
      <c r="CT51" s="456"/>
      <c r="CU51" s="456"/>
      <c r="CV51" s="456"/>
      <c r="CW51" s="456"/>
      <c r="CX51" s="457"/>
      <c r="CY51" s="456"/>
      <c r="CZ51" s="456"/>
      <c r="DA51" s="456"/>
      <c r="DB51" s="456"/>
      <c r="DC51" s="456"/>
      <c r="DD51" s="456"/>
      <c r="DE51" s="456"/>
      <c r="DF51" s="456"/>
      <c r="DG51" s="456"/>
      <c r="DH51" s="456"/>
      <c r="DI51" s="456"/>
      <c r="DJ51" s="456"/>
      <c r="DK51" s="456"/>
      <c r="DL51" s="456"/>
      <c r="DM51" s="456"/>
      <c r="DN51" s="456"/>
      <c r="DO51" s="456"/>
      <c r="DP51" s="456"/>
      <c r="DQ51" s="456"/>
      <c r="DR51" s="456"/>
      <c r="DS51" s="456"/>
      <c r="DT51" s="456"/>
      <c r="DU51" s="456"/>
      <c r="DV51" s="456"/>
      <c r="DW51" s="456"/>
      <c r="DX51" s="456"/>
      <c r="DY51" s="456"/>
      <c r="DZ51" s="456"/>
      <c r="EA51" s="456"/>
      <c r="EB51" s="456"/>
      <c r="EC51" s="456"/>
      <c r="ED51" s="456"/>
      <c r="EE51" s="544"/>
      <c r="EF51" s="456"/>
      <c r="EG51" s="456"/>
      <c r="EH51" s="456"/>
      <c r="EI51" s="456"/>
      <c r="EJ51" s="456"/>
      <c r="EK51" s="456"/>
      <c r="EL51" s="457"/>
      <c r="EM51" s="457"/>
      <c r="EN51" s="456"/>
      <c r="EO51" s="456"/>
      <c r="EP51" s="456"/>
      <c r="EQ51" s="456"/>
      <c r="ER51" s="456"/>
      <c r="ES51" s="456"/>
      <c r="ET51" s="456"/>
      <c r="EU51" s="456"/>
      <c r="EV51" s="456"/>
      <c r="EW51" s="456"/>
      <c r="EX51" s="456"/>
      <c r="EY51" s="456"/>
      <c r="EZ51" s="527"/>
      <c r="FA51" s="456"/>
      <c r="FB51" s="456"/>
      <c r="FC51" s="456"/>
      <c r="FD51" s="456"/>
      <c r="FE51" s="456"/>
      <c r="FF51" s="456"/>
      <c r="FG51" s="456"/>
      <c r="FH51" s="456"/>
      <c r="FI51" s="456"/>
      <c r="FJ51" s="456"/>
      <c r="FK51" s="456"/>
      <c r="FL51" s="456"/>
      <c r="FM51" s="456"/>
      <c r="FN51" s="456"/>
      <c r="FO51" s="456"/>
      <c r="FP51" s="456"/>
      <c r="FQ51" s="456"/>
      <c r="FR51" s="456"/>
      <c r="FS51" s="456"/>
      <c r="FT51" s="456"/>
      <c r="FU51" s="456"/>
      <c r="FV51" s="456"/>
      <c r="FW51" s="456"/>
      <c r="FX51" s="456"/>
      <c r="FY51" s="456"/>
      <c r="FZ51" s="456"/>
      <c r="GA51" s="456"/>
      <c r="GB51" s="456"/>
      <c r="GC51" s="456"/>
      <c r="GD51" s="456"/>
      <c r="GE51" s="456"/>
      <c r="GF51" s="456"/>
      <c r="GG51" s="456"/>
      <c r="GH51" s="456"/>
      <c r="GI51" s="456"/>
      <c r="GJ51" s="457"/>
      <c r="GK51" s="457"/>
      <c r="GL51" s="459"/>
      <c r="GM51" s="456"/>
      <c r="GN51" s="456"/>
      <c r="GO51" s="527"/>
      <c r="GP51" s="456"/>
      <c r="GQ51" s="456"/>
      <c r="GR51" s="456"/>
      <c r="GS51" s="456"/>
      <c r="GT51" s="456"/>
      <c r="GU51" s="456"/>
      <c r="GV51" s="456"/>
      <c r="GW51" s="456"/>
      <c r="GX51" s="456"/>
      <c r="GY51" s="456"/>
      <c r="GZ51" s="456"/>
      <c r="HA51" s="456"/>
      <c r="HB51" s="456"/>
      <c r="HC51" s="456"/>
      <c r="HD51" s="456"/>
      <c r="HE51" s="456"/>
      <c r="HF51" s="456"/>
      <c r="HG51" s="456"/>
      <c r="HH51" s="456"/>
      <c r="HI51" s="456"/>
      <c r="HJ51" s="456"/>
      <c r="HK51" s="456"/>
      <c r="HL51" s="456"/>
      <c r="HM51" s="456"/>
      <c r="HN51" s="456"/>
      <c r="HO51" s="456"/>
    </row>
    <row r="52" spans="1:292" ht="70" hidden="1" customHeight="1">
      <c r="A52" s="170" t="s">
        <v>180</v>
      </c>
      <c r="B52" s="339"/>
      <c r="C52" s="341" t="s">
        <v>167</v>
      </c>
      <c r="D52" s="334">
        <v>12</v>
      </c>
      <c r="E52" s="334">
        <v>0</v>
      </c>
      <c r="F52" s="335">
        <v>45475</v>
      </c>
      <c r="G52" s="41" t="s">
        <v>120</v>
      </c>
      <c r="H52" s="41"/>
      <c r="I52" s="41" t="s">
        <v>43</v>
      </c>
      <c r="J52" s="150" t="s">
        <v>181</v>
      </c>
      <c r="K52" s="236" t="s">
        <v>33</v>
      </c>
      <c r="L52" s="41" t="s">
        <v>34</v>
      </c>
      <c r="M52" s="61">
        <v>45792</v>
      </c>
      <c r="N52" s="134">
        <v>45945</v>
      </c>
      <c r="O52" s="61">
        <v>45983</v>
      </c>
      <c r="P52" s="526">
        <v>45841</v>
      </c>
      <c r="Q52" s="451">
        <f t="shared" si="11"/>
        <v>45886</v>
      </c>
      <c r="R52" s="452">
        <f t="shared" si="12"/>
        <v>46000</v>
      </c>
      <c r="S52" s="32" t="s">
        <v>122</v>
      </c>
      <c r="T52" s="453">
        <v>46060</v>
      </c>
      <c r="U52" s="338">
        <f t="shared" si="14"/>
        <v>77</v>
      </c>
      <c r="V52" s="261" t="s">
        <v>505</v>
      </c>
      <c r="W52" s="75" t="s">
        <v>179</v>
      </c>
      <c r="X52" s="551"/>
      <c r="Y52" s="465"/>
      <c r="Z52" s="465"/>
      <c r="AA52" s="465"/>
      <c r="AB52" s="465"/>
      <c r="AC52" s="465"/>
      <c r="AD52" s="465"/>
      <c r="AE52" s="465"/>
      <c r="AF52" s="456"/>
      <c r="AG52" s="456"/>
      <c r="AH52" s="340"/>
      <c r="AI52" s="465"/>
      <c r="AJ52" s="457"/>
      <c r="AK52" s="457"/>
      <c r="AL52" s="456"/>
      <c r="AM52" s="551"/>
      <c r="AN52" s="465"/>
      <c r="AO52" s="465"/>
      <c r="AP52" s="456"/>
      <c r="AQ52" s="465"/>
      <c r="AR52" s="465"/>
      <c r="AS52" s="465"/>
      <c r="AT52" s="465"/>
      <c r="AU52" s="465"/>
      <c r="AV52" s="465"/>
      <c r="AW52" s="465"/>
      <c r="AX52" s="465"/>
      <c r="AY52" s="465"/>
      <c r="AZ52" s="465"/>
      <c r="BA52" s="465"/>
      <c r="BB52" s="2"/>
      <c r="BC52" s="2"/>
      <c r="BD52" s="456"/>
      <c r="BE52" s="456"/>
      <c r="BF52" s="456"/>
      <c r="BG52" s="501" t="s">
        <v>91</v>
      </c>
      <c r="BH52" s="513"/>
      <c r="BI52" s="513"/>
      <c r="BJ52" s="513"/>
      <c r="BK52" s="505"/>
      <c r="BL52" s="514" t="s">
        <v>87</v>
      </c>
      <c r="BM52" s="514"/>
      <c r="BN52" s="514"/>
      <c r="BO52" s="514"/>
      <c r="BP52" s="514"/>
      <c r="BQ52" s="507" t="s">
        <v>81</v>
      </c>
      <c r="BR52" s="507"/>
      <c r="BS52" s="507"/>
      <c r="BT52" s="507"/>
      <c r="BU52" s="507"/>
      <c r="BV52" s="507"/>
      <c r="BW52" s="471" t="s">
        <v>77</v>
      </c>
      <c r="BX52" s="471"/>
      <c r="BY52" s="471"/>
      <c r="BZ52" s="471"/>
      <c r="CA52" s="471"/>
      <c r="CB52" s="471"/>
      <c r="CC52" s="471"/>
      <c r="CD52" s="473" t="s">
        <v>66</v>
      </c>
      <c r="CE52" s="473"/>
      <c r="CF52" s="473"/>
      <c r="CG52" s="473"/>
      <c r="CH52" s="473"/>
      <c r="CI52" s="473"/>
      <c r="CJ52" s="473"/>
      <c r="CK52" s="4" t="s">
        <v>67</v>
      </c>
      <c r="CL52" s="4"/>
      <c r="CM52" s="457"/>
      <c r="CN52" s="457"/>
      <c r="CO52" s="456"/>
      <c r="CP52" s="456"/>
      <c r="CQ52" s="456"/>
      <c r="CR52" s="456"/>
      <c r="CS52" s="465"/>
      <c r="CT52" s="465"/>
      <c r="CU52" s="465"/>
      <c r="CV52" s="465"/>
      <c r="CW52" s="465"/>
      <c r="CX52" s="457"/>
      <c r="CY52" s="465"/>
      <c r="CZ52" s="465"/>
      <c r="DA52" s="465"/>
      <c r="DB52" s="465"/>
      <c r="DC52" s="465"/>
      <c r="DD52" s="465"/>
      <c r="DE52" s="465"/>
      <c r="DF52" s="465"/>
      <c r="DG52" s="465"/>
      <c r="DH52" s="456"/>
      <c r="DI52" s="456"/>
      <c r="DJ52" s="456"/>
      <c r="DK52" s="456"/>
      <c r="DL52" s="456"/>
      <c r="DM52" s="456"/>
      <c r="DN52" s="456"/>
      <c r="DO52" s="456"/>
      <c r="DP52" s="456"/>
      <c r="DQ52" s="456"/>
      <c r="DR52" s="456"/>
      <c r="DS52" s="456"/>
      <c r="DT52" s="456"/>
      <c r="DU52" s="456"/>
      <c r="DV52" s="456"/>
      <c r="DW52" s="456"/>
      <c r="DX52" s="456"/>
      <c r="DY52" s="456"/>
      <c r="DZ52" s="456"/>
      <c r="EA52" s="456"/>
      <c r="EB52" s="456"/>
      <c r="EC52" s="456"/>
      <c r="ED52" s="456"/>
      <c r="EE52" s="544"/>
      <c r="EF52" s="456"/>
      <c r="EG52" s="456"/>
      <c r="EH52" s="456"/>
      <c r="EI52" s="456"/>
      <c r="EJ52" s="456"/>
      <c r="EK52" s="456"/>
      <c r="EL52" s="457"/>
      <c r="EM52" s="457"/>
      <c r="EN52" s="456"/>
      <c r="EO52" s="456"/>
      <c r="EP52" s="456"/>
      <c r="EQ52" s="456"/>
      <c r="ER52" s="456"/>
      <c r="ES52" s="456"/>
      <c r="ET52" s="456"/>
      <c r="EU52" s="456"/>
      <c r="EV52" s="456"/>
      <c r="EW52" s="456"/>
      <c r="EX52" s="456"/>
      <c r="EY52" s="456"/>
      <c r="EZ52" s="527"/>
      <c r="FA52" s="456"/>
      <c r="FB52" s="456"/>
      <c r="FC52" s="456"/>
      <c r="FD52" s="456"/>
      <c r="FE52" s="456"/>
      <c r="FF52" s="456"/>
      <c r="FG52" s="456"/>
      <c r="FH52" s="456"/>
      <c r="FI52" s="456"/>
      <c r="FJ52" s="456"/>
      <c r="FK52" s="456"/>
      <c r="FL52" s="456"/>
      <c r="FM52" s="456"/>
      <c r="FN52" s="456"/>
      <c r="FO52" s="456"/>
      <c r="FP52" s="456"/>
      <c r="FQ52" s="456"/>
      <c r="FR52" s="456"/>
      <c r="FS52" s="456"/>
      <c r="FT52" s="456"/>
      <c r="FU52" s="456"/>
      <c r="FV52" s="456"/>
      <c r="FW52" s="456"/>
      <c r="FX52" s="456"/>
      <c r="FY52" s="456"/>
      <c r="FZ52" s="456"/>
      <c r="GA52" s="456"/>
      <c r="GB52" s="456"/>
      <c r="GC52" s="456"/>
      <c r="GD52" s="456"/>
      <c r="GE52" s="456"/>
      <c r="GF52" s="456"/>
      <c r="GG52" s="458"/>
      <c r="GH52" s="458"/>
      <c r="GI52" s="458"/>
      <c r="GJ52" s="470"/>
      <c r="GK52" s="470"/>
      <c r="GL52" s="554"/>
      <c r="GM52" s="456"/>
      <c r="GN52" s="456"/>
      <c r="GO52" s="555"/>
      <c r="GP52" s="458"/>
      <c r="GQ52" s="458"/>
      <c r="GR52" s="458"/>
      <c r="GS52" s="458"/>
      <c r="GT52" s="458"/>
      <c r="GU52" s="458"/>
      <c r="GV52" s="458"/>
      <c r="GW52" s="458"/>
      <c r="GX52" s="458"/>
      <c r="GY52" s="458"/>
      <c r="GZ52" s="458"/>
      <c r="HA52" s="458"/>
      <c r="HB52" s="458"/>
      <c r="HC52" s="458"/>
      <c r="HD52" s="458"/>
      <c r="HE52" s="458"/>
      <c r="HF52" s="458"/>
      <c r="HG52" s="458"/>
      <c r="HH52" s="458"/>
      <c r="HI52" s="458"/>
      <c r="HJ52" s="458"/>
      <c r="HK52" s="458"/>
      <c r="HL52" s="458"/>
      <c r="HM52" s="458"/>
      <c r="HN52" s="458"/>
      <c r="HO52" s="458"/>
    </row>
    <row r="53" spans="1:292" ht="70" customHeight="1">
      <c r="A53" s="170" t="s">
        <v>182</v>
      </c>
      <c r="B53" s="339" t="s">
        <v>183</v>
      </c>
      <c r="C53" s="344" t="s">
        <v>184</v>
      </c>
      <c r="D53" s="334">
        <v>0</v>
      </c>
      <c r="E53" s="334">
        <v>0</v>
      </c>
      <c r="F53" s="335">
        <v>45882</v>
      </c>
      <c r="G53" s="41" t="s">
        <v>120</v>
      </c>
      <c r="H53" s="41"/>
      <c r="I53" s="41" t="s">
        <v>185</v>
      </c>
      <c r="J53" s="150" t="s">
        <v>752</v>
      </c>
      <c r="K53" s="236" t="s">
        <v>33</v>
      </c>
      <c r="L53" s="321" t="s">
        <v>73</v>
      </c>
      <c r="M53" s="61">
        <v>46177</v>
      </c>
      <c r="N53" s="134">
        <v>46360</v>
      </c>
      <c r="O53" s="61">
        <v>46120</v>
      </c>
      <c r="P53" s="526">
        <v>45875</v>
      </c>
      <c r="Q53" s="451">
        <f t="shared" si="11"/>
        <v>45920</v>
      </c>
      <c r="R53" s="452">
        <f t="shared" si="12"/>
        <v>46091</v>
      </c>
      <c r="S53" s="32"/>
      <c r="T53" s="453">
        <v>46151</v>
      </c>
      <c r="U53" s="338">
        <f>T53-O54</f>
        <v>31</v>
      </c>
      <c r="V53" s="673" t="s">
        <v>766</v>
      </c>
      <c r="W53" s="75" t="s">
        <v>732</v>
      </c>
      <c r="X53" s="551"/>
      <c r="Y53" s="465"/>
      <c r="Z53" s="465"/>
      <c r="AA53" s="465"/>
      <c r="AB53" s="465"/>
      <c r="AC53" s="465"/>
      <c r="AD53" s="465"/>
      <c r="AE53" s="465"/>
      <c r="AF53" s="456"/>
      <c r="AG53" s="456"/>
      <c r="AH53" s="340"/>
      <c r="AI53" s="465"/>
      <c r="AJ53" s="457"/>
      <c r="AK53" s="457"/>
      <c r="AL53" s="456"/>
      <c r="AM53" s="551"/>
      <c r="AN53" s="465"/>
      <c r="AO53" s="465"/>
      <c r="AP53" s="456"/>
      <c r="AQ53" s="465"/>
      <c r="AR53" s="465"/>
      <c r="AS53" s="465"/>
      <c r="AT53" s="465"/>
      <c r="AU53" s="465"/>
      <c r="AV53" s="465"/>
      <c r="AW53" s="465"/>
      <c r="AX53" s="465"/>
      <c r="AY53" s="465"/>
      <c r="AZ53" s="465"/>
      <c r="BA53" s="465"/>
      <c r="BB53" s="456"/>
      <c r="BC53" s="456"/>
      <c r="BD53" s="456"/>
      <c r="BE53" s="456"/>
      <c r="BF53" s="456"/>
      <c r="BG53" s="456"/>
      <c r="BH53" s="456"/>
      <c r="BI53" s="456"/>
      <c r="BJ53" s="456"/>
      <c r="BK53" s="547"/>
      <c r="BL53" s="501" t="s">
        <v>91</v>
      </c>
      <c r="BM53" s="556"/>
      <c r="BN53" s="556"/>
      <c r="BO53" s="556"/>
      <c r="BP53" s="556"/>
      <c r="BQ53" s="506" t="s">
        <v>87</v>
      </c>
      <c r="BR53" s="506"/>
      <c r="BS53" s="37" t="s">
        <v>186</v>
      </c>
      <c r="BT53" s="506"/>
      <c r="BU53" s="506"/>
      <c r="BV53" s="506"/>
      <c r="BW53" s="507" t="s">
        <v>81</v>
      </c>
      <c r="BX53" s="507"/>
      <c r="BY53" s="507"/>
      <c r="BZ53" s="507"/>
      <c r="CA53" s="557" t="s">
        <v>187</v>
      </c>
      <c r="CB53" s="507"/>
      <c r="CC53" s="507"/>
      <c r="CD53" s="471" t="s">
        <v>77</v>
      </c>
      <c r="CE53" s="94" t="s">
        <v>188</v>
      </c>
      <c r="CF53" s="94" t="s">
        <v>189</v>
      </c>
      <c r="CG53" s="471"/>
      <c r="CH53" s="471"/>
      <c r="CI53" s="471"/>
      <c r="CJ53" s="471"/>
      <c r="CK53" s="473" t="s">
        <v>66</v>
      </c>
      <c r="CL53" s="473"/>
      <c r="CM53" s="457"/>
      <c r="CN53" s="457"/>
      <c r="CO53" s="473"/>
      <c r="CP53" s="473"/>
      <c r="CQ53" s="473"/>
      <c r="CR53" s="4" t="s">
        <v>67</v>
      </c>
      <c r="CS53" s="4"/>
      <c r="CT53" s="4"/>
      <c r="CU53" s="4"/>
      <c r="CV53" s="4"/>
      <c r="CW53" s="4"/>
      <c r="CX53" s="457"/>
      <c r="CY53" s="4"/>
      <c r="CZ53" s="558" t="s">
        <v>502</v>
      </c>
      <c r="DA53" s="559"/>
      <c r="DB53" s="516" t="s">
        <v>130</v>
      </c>
      <c r="DC53" s="79" t="s">
        <v>190</v>
      </c>
      <c r="DD53" s="456"/>
      <c r="DE53" s="465"/>
      <c r="DF53" s="2"/>
      <c r="DG53" s="456"/>
      <c r="DH53" s="456"/>
      <c r="DI53" s="456"/>
      <c r="DJ53" s="456"/>
      <c r="DK53" s="456"/>
      <c r="DL53" s="456"/>
      <c r="DM53" s="456"/>
      <c r="DN53" s="456"/>
      <c r="DO53" s="456"/>
      <c r="DP53" s="456"/>
      <c r="DQ53" s="456"/>
      <c r="DR53" s="456"/>
      <c r="DS53" s="456"/>
      <c r="DT53" s="456"/>
      <c r="DU53" s="456"/>
      <c r="DV53" s="456"/>
      <c r="DW53" s="456"/>
      <c r="DX53" s="456"/>
      <c r="DY53" s="456"/>
      <c r="DZ53" s="456"/>
      <c r="EA53" s="456"/>
      <c r="EB53" s="456"/>
      <c r="EC53" s="456"/>
      <c r="ED53" s="456"/>
      <c r="EE53" s="544"/>
      <c r="EF53" s="456"/>
      <c r="EG53" s="456"/>
      <c r="EH53" s="456"/>
      <c r="EI53" s="456"/>
      <c r="EJ53" s="456"/>
      <c r="EK53" s="456"/>
      <c r="EL53" s="457"/>
      <c r="EM53" s="457"/>
      <c r="EN53" s="456"/>
      <c r="EO53" s="456"/>
      <c r="EP53" s="456"/>
      <c r="EQ53" s="456"/>
      <c r="ER53" s="456"/>
      <c r="ES53" s="456"/>
      <c r="ET53" s="456"/>
      <c r="EU53" s="456"/>
      <c r="EV53" s="456"/>
      <c r="EW53" s="456"/>
      <c r="EX53" s="456"/>
      <c r="EY53" s="456"/>
      <c r="EZ53" s="527"/>
      <c r="FA53" s="456"/>
      <c r="FB53" s="456"/>
      <c r="FC53" s="456"/>
      <c r="FD53" s="456"/>
      <c r="FE53" s="456"/>
      <c r="FF53" s="456"/>
      <c r="FG53" s="456"/>
      <c r="FH53" s="456"/>
      <c r="FI53" s="456"/>
      <c r="FJ53" s="456"/>
      <c r="FK53" s="456"/>
      <c r="FL53" s="456"/>
      <c r="FM53" s="456"/>
      <c r="FN53" s="456"/>
      <c r="FO53" s="456"/>
      <c r="FP53" s="456"/>
      <c r="FQ53" s="456"/>
      <c r="FR53" s="456"/>
      <c r="FS53" s="456"/>
      <c r="FT53" s="456"/>
      <c r="FU53" s="456"/>
      <c r="FV53" s="456"/>
      <c r="FW53" s="456"/>
      <c r="FX53" s="456"/>
      <c r="FY53" s="456"/>
      <c r="FZ53" s="456"/>
      <c r="GA53" s="456"/>
      <c r="GB53" s="456"/>
      <c r="GC53" s="456"/>
      <c r="GD53" s="456"/>
      <c r="GE53" s="456"/>
      <c r="GF53" s="456"/>
      <c r="GG53" s="456"/>
      <c r="GH53" s="456"/>
      <c r="GI53" s="456"/>
      <c r="GJ53" s="457"/>
      <c r="GK53" s="457"/>
      <c r="GL53" s="459"/>
      <c r="GM53" s="456"/>
      <c r="GN53" s="456"/>
      <c r="GO53" s="527"/>
      <c r="GP53" s="456"/>
      <c r="GQ53" s="456"/>
      <c r="GR53" s="456"/>
      <c r="GS53" s="456"/>
      <c r="GT53" s="456"/>
      <c r="GU53" s="456"/>
      <c r="GV53" s="456"/>
      <c r="GW53" s="456"/>
      <c r="GX53" s="456"/>
      <c r="GY53" s="456"/>
      <c r="GZ53" s="456"/>
      <c r="HA53" s="456"/>
      <c r="HB53" s="456"/>
      <c r="HC53" s="456"/>
      <c r="HD53" s="456"/>
      <c r="HE53" s="456"/>
      <c r="HF53" s="456"/>
      <c r="HG53" s="456"/>
      <c r="HH53" s="456"/>
      <c r="HI53" s="456"/>
      <c r="HJ53" s="456"/>
      <c r="HK53" s="456"/>
      <c r="HL53" s="456"/>
      <c r="HM53" s="456"/>
      <c r="HN53" s="456"/>
      <c r="HO53" s="456"/>
      <c r="HP53" s="456"/>
      <c r="HQ53" s="456"/>
      <c r="HR53" s="456"/>
      <c r="HS53" s="456"/>
      <c r="HT53" s="456"/>
      <c r="HU53" s="456"/>
      <c r="HV53" s="456"/>
      <c r="HW53" s="456"/>
      <c r="HX53" s="456"/>
      <c r="HY53" s="456"/>
      <c r="HZ53" s="456"/>
      <c r="IA53" s="456"/>
      <c r="IB53" s="456"/>
      <c r="IC53" s="456"/>
      <c r="ID53" s="456"/>
      <c r="IE53" s="456"/>
      <c r="IF53" s="456"/>
      <c r="IG53" s="456"/>
      <c r="IH53" s="456"/>
      <c r="II53" s="456"/>
      <c r="IJ53" s="456"/>
      <c r="IK53" s="456"/>
      <c r="IL53" s="456"/>
      <c r="IM53" s="456"/>
      <c r="IN53" s="457"/>
      <c r="IO53" s="457"/>
      <c r="IP53" s="456"/>
      <c r="IQ53" s="456"/>
      <c r="IR53" s="456"/>
      <c r="IS53" s="456"/>
      <c r="IT53" s="456"/>
      <c r="IU53" s="456"/>
      <c r="IV53" s="456"/>
      <c r="IW53" s="456"/>
      <c r="IX53" s="456"/>
      <c r="IY53" s="456"/>
      <c r="IZ53" s="456"/>
      <c r="JA53" s="456"/>
      <c r="JB53" s="456"/>
      <c r="JC53" s="456"/>
      <c r="JD53" s="456"/>
      <c r="JE53" s="456"/>
      <c r="JF53" s="456"/>
      <c r="JG53" s="456"/>
      <c r="JH53" s="456"/>
      <c r="JI53" s="456"/>
      <c r="JJ53" s="456"/>
      <c r="JK53" s="456"/>
      <c r="JL53" s="456"/>
      <c r="JM53" s="456"/>
      <c r="JN53" s="456"/>
      <c r="JO53" s="456"/>
      <c r="JP53" s="456"/>
      <c r="JQ53" s="456"/>
      <c r="JR53" s="456"/>
      <c r="JS53" s="456"/>
      <c r="JT53" s="456"/>
      <c r="JU53" s="456"/>
      <c r="JV53" s="456"/>
      <c r="JW53" s="456"/>
      <c r="JX53" s="456"/>
      <c r="JY53" s="456"/>
      <c r="JZ53" s="456"/>
      <c r="KA53" s="456"/>
      <c r="KB53" s="456"/>
      <c r="KC53" s="456"/>
      <c r="KD53" s="456"/>
      <c r="KE53" s="456"/>
      <c r="KF53" s="456"/>
    </row>
    <row r="54" spans="1:292" ht="70" customHeight="1">
      <c r="A54" s="170" t="s">
        <v>191</v>
      </c>
      <c r="B54" s="339" t="s">
        <v>192</v>
      </c>
      <c r="C54" s="344" t="s">
        <v>184</v>
      </c>
      <c r="D54" s="334"/>
      <c r="E54" s="334"/>
      <c r="F54" s="335">
        <v>45895</v>
      </c>
      <c r="G54" s="41" t="s">
        <v>120</v>
      </c>
      <c r="H54" s="41"/>
      <c r="I54" s="41" t="s">
        <v>680</v>
      </c>
      <c r="J54" s="463" t="s">
        <v>193</v>
      </c>
      <c r="K54" s="236" t="s">
        <v>33</v>
      </c>
      <c r="L54" s="321" t="s">
        <v>73</v>
      </c>
      <c r="M54" s="61">
        <v>45967</v>
      </c>
      <c r="N54" s="36"/>
      <c r="O54" s="61">
        <v>46120</v>
      </c>
      <c r="P54" s="526">
        <v>45910</v>
      </c>
      <c r="Q54" s="451">
        <f t="shared" si="11"/>
        <v>45955</v>
      </c>
      <c r="R54" s="452">
        <f>T54-66</f>
        <v>46113</v>
      </c>
      <c r="S54" s="32"/>
      <c r="T54" s="453">
        <v>46179</v>
      </c>
      <c r="U54" s="338">
        <f>T54-O54</f>
        <v>59</v>
      </c>
      <c r="V54" s="673" t="s">
        <v>767</v>
      </c>
      <c r="W54" s="75" t="s">
        <v>732</v>
      </c>
      <c r="X54" s="551"/>
      <c r="Y54" s="465"/>
      <c r="Z54" s="465"/>
      <c r="AA54" s="465"/>
      <c r="AB54" s="465"/>
      <c r="AC54" s="465"/>
      <c r="AD54" s="465"/>
      <c r="AE54" s="465"/>
      <c r="AF54" s="456"/>
      <c r="AG54" s="456"/>
      <c r="AH54" s="340"/>
      <c r="AI54" s="465"/>
      <c r="AJ54" s="457"/>
      <c r="AK54" s="457"/>
      <c r="AL54" s="456"/>
      <c r="AM54" s="465"/>
      <c r="AN54" s="465"/>
      <c r="AO54" s="465"/>
      <c r="AP54" s="456"/>
      <c r="AQ54" s="465"/>
      <c r="AR54" s="465"/>
      <c r="AS54" s="465"/>
      <c r="AT54" s="465"/>
      <c r="AU54" s="465"/>
      <c r="AV54" s="465"/>
      <c r="AW54" s="465"/>
      <c r="AX54" s="465"/>
      <c r="AY54" s="465"/>
      <c r="AZ54" s="465"/>
      <c r="BA54" s="465"/>
      <c r="BB54" s="456"/>
      <c r="BC54" s="456"/>
      <c r="BD54" s="456"/>
      <c r="BE54" s="456"/>
      <c r="BF54" s="456"/>
      <c r="BG54" s="456"/>
      <c r="BH54" s="456"/>
      <c r="BI54" s="456"/>
      <c r="BJ54" s="456"/>
      <c r="BK54" s="456"/>
      <c r="BL54" s="456"/>
      <c r="BM54" s="456"/>
      <c r="BN54" s="456"/>
      <c r="BO54" s="456"/>
      <c r="BP54" s="456"/>
      <c r="BQ54" s="501" t="s">
        <v>91</v>
      </c>
      <c r="BR54" s="513"/>
      <c r="BS54" s="513"/>
      <c r="BT54" s="505"/>
      <c r="BU54" s="505"/>
      <c r="BV54" s="505"/>
      <c r="BW54" s="506" t="s">
        <v>87</v>
      </c>
      <c r="BX54" s="506"/>
      <c r="BY54" s="37" t="s">
        <v>186</v>
      </c>
      <c r="BZ54" s="506"/>
      <c r="CA54" s="560" t="s">
        <v>187</v>
      </c>
      <c r="CB54" s="506"/>
      <c r="CC54" s="506"/>
      <c r="CD54" s="507" t="s">
        <v>81</v>
      </c>
      <c r="CE54" s="95" t="s">
        <v>188</v>
      </c>
      <c r="CF54" s="95" t="s">
        <v>189</v>
      </c>
      <c r="CG54" s="507"/>
      <c r="CH54" s="507"/>
      <c r="CI54" s="507"/>
      <c r="CJ54" s="507"/>
      <c r="CK54" s="471" t="s">
        <v>77</v>
      </c>
      <c r="CL54" s="471"/>
      <c r="CM54" s="457"/>
      <c r="CN54" s="457"/>
      <c r="CO54" s="471"/>
      <c r="CP54" s="471"/>
      <c r="CQ54" s="471"/>
      <c r="CR54" s="473" t="s">
        <v>66</v>
      </c>
      <c r="CS54" s="473"/>
      <c r="CT54" s="473"/>
      <c r="CU54" s="473"/>
      <c r="CV54" s="473"/>
      <c r="CW54" s="473"/>
      <c r="CX54" s="457"/>
      <c r="CY54" s="4" t="s">
        <v>67</v>
      </c>
      <c r="CZ54" s="4"/>
      <c r="DA54" s="4"/>
      <c r="DB54" s="4"/>
      <c r="DC54" s="4"/>
      <c r="DD54" s="558" t="s">
        <v>502</v>
      </c>
      <c r="DE54" s="559"/>
      <c r="DF54" s="516" t="s">
        <v>130</v>
      </c>
      <c r="DG54" s="456"/>
      <c r="DH54" s="456"/>
      <c r="DI54" s="456"/>
      <c r="DJ54" s="456"/>
      <c r="DK54" s="456"/>
      <c r="DL54" s="456"/>
      <c r="DM54" s="456"/>
      <c r="DN54" s="456"/>
      <c r="DO54" s="456"/>
      <c r="DP54" s="456"/>
      <c r="DQ54" s="456"/>
      <c r="DR54" s="456"/>
      <c r="DS54" s="456"/>
      <c r="DT54" s="456"/>
      <c r="DU54" s="456"/>
      <c r="DV54" s="456"/>
      <c r="DW54" s="456"/>
      <c r="DX54" s="456"/>
      <c r="DY54" s="456"/>
      <c r="DZ54" s="456"/>
      <c r="EA54" s="456"/>
      <c r="EB54" s="456"/>
      <c r="EC54" s="456"/>
      <c r="ED54" s="456"/>
      <c r="EE54" s="544"/>
      <c r="EF54" s="456"/>
      <c r="EG54" s="456"/>
      <c r="EH54" s="456"/>
      <c r="EI54" s="456"/>
      <c r="EJ54" s="456"/>
      <c r="EK54" s="456"/>
      <c r="EL54" s="457"/>
      <c r="EM54" s="457"/>
      <c r="EN54" s="456"/>
      <c r="EO54" s="456"/>
      <c r="EP54" s="456"/>
      <c r="EQ54" s="456"/>
      <c r="ER54" s="456"/>
      <c r="ES54" s="456"/>
      <c r="ET54" s="456"/>
      <c r="EU54" s="456"/>
      <c r="EV54" s="456"/>
      <c r="EW54" s="456"/>
      <c r="EX54" s="456"/>
      <c r="EY54" s="456"/>
      <c r="EZ54" s="527"/>
      <c r="FA54" s="456"/>
      <c r="FB54" s="456"/>
      <c r="FC54" s="456"/>
      <c r="FD54" s="456"/>
      <c r="FE54" s="456"/>
      <c r="FF54" s="456"/>
      <c r="FG54" s="456"/>
      <c r="FH54" s="456"/>
      <c r="FI54" s="456"/>
      <c r="FJ54" s="456"/>
      <c r="FK54" s="456"/>
      <c r="FL54" s="456"/>
      <c r="FM54" s="456"/>
      <c r="FN54" s="456"/>
      <c r="FO54" s="456"/>
      <c r="FP54" s="456"/>
      <c r="FQ54" s="456"/>
      <c r="FR54" s="456"/>
      <c r="FS54" s="456"/>
      <c r="FT54" s="456"/>
      <c r="FU54" s="456"/>
      <c r="FV54" s="456"/>
      <c r="FW54" s="456"/>
      <c r="FX54" s="456"/>
      <c r="FY54" s="456"/>
      <c r="FZ54" s="456"/>
      <c r="GA54" s="456"/>
      <c r="GB54" s="456"/>
      <c r="GC54" s="456"/>
      <c r="GD54" s="456"/>
      <c r="GE54" s="456"/>
      <c r="GF54" s="456"/>
      <c r="GG54" s="456"/>
      <c r="GH54" s="456"/>
      <c r="GI54" s="456"/>
      <c r="GJ54" s="457"/>
      <c r="GK54" s="457"/>
      <c r="GL54" s="459"/>
      <c r="GM54" s="456"/>
      <c r="GN54" s="456"/>
      <c r="GO54" s="527"/>
      <c r="GP54" s="456"/>
      <c r="GQ54" s="456"/>
      <c r="GR54" s="456"/>
      <c r="GS54" s="456"/>
      <c r="GT54" s="456"/>
      <c r="GU54" s="456"/>
      <c r="GV54" s="456"/>
      <c r="GW54" s="456"/>
      <c r="GX54" s="456"/>
      <c r="GY54" s="456"/>
      <c r="GZ54" s="456"/>
      <c r="HA54" s="456"/>
      <c r="HB54" s="456"/>
      <c r="HC54" s="456"/>
      <c r="HD54" s="456"/>
      <c r="HE54" s="456"/>
      <c r="HF54" s="456"/>
      <c r="HG54" s="456"/>
      <c r="HH54" s="456"/>
      <c r="HI54" s="456"/>
      <c r="HJ54" s="456"/>
      <c r="HK54" s="456"/>
      <c r="HL54" s="456"/>
      <c r="HM54" s="456"/>
      <c r="HN54" s="456"/>
      <c r="HO54" s="456"/>
      <c r="HP54" s="456"/>
      <c r="HQ54" s="456"/>
      <c r="HR54" s="456"/>
      <c r="HS54" s="456"/>
      <c r="HT54" s="456"/>
      <c r="HU54" s="456"/>
      <c r="HV54" s="456"/>
      <c r="HW54" s="456"/>
      <c r="HX54" s="456"/>
      <c r="HY54" s="456"/>
      <c r="HZ54" s="456"/>
      <c r="IA54" s="456"/>
      <c r="IB54" s="456"/>
      <c r="IC54" s="456"/>
      <c r="ID54" s="456"/>
      <c r="IE54" s="456"/>
      <c r="IF54" s="456"/>
      <c r="IG54" s="456"/>
      <c r="IH54" s="456"/>
      <c r="II54" s="456"/>
      <c r="IJ54" s="456"/>
      <c r="IK54" s="456"/>
      <c r="IL54" s="456"/>
      <c r="IM54" s="456"/>
      <c r="IN54" s="457"/>
      <c r="IO54" s="457"/>
      <c r="IP54" s="456"/>
      <c r="IQ54" s="456"/>
      <c r="IR54" s="456"/>
      <c r="IS54" s="456"/>
      <c r="IT54" s="456"/>
      <c r="IU54" s="456"/>
      <c r="IV54" s="456"/>
      <c r="IW54" s="456"/>
      <c r="IX54" s="456"/>
      <c r="IY54" s="456"/>
      <c r="IZ54" s="456"/>
      <c r="JA54" s="456"/>
      <c r="JB54" s="456"/>
      <c r="JC54" s="456"/>
      <c r="JD54" s="456"/>
      <c r="JE54" s="456"/>
      <c r="JF54" s="456"/>
      <c r="JG54" s="456"/>
      <c r="JH54" s="456"/>
      <c r="JI54" s="456"/>
      <c r="JJ54" s="456"/>
      <c r="JK54" s="456"/>
      <c r="JL54" s="456"/>
      <c r="JM54" s="456"/>
      <c r="JN54" s="456"/>
      <c r="JO54" s="456"/>
      <c r="JP54" s="456"/>
      <c r="JQ54" s="456"/>
      <c r="JR54" s="456"/>
      <c r="JS54" s="456"/>
      <c r="JT54" s="456"/>
      <c r="JU54" s="456"/>
      <c r="JV54" s="456"/>
      <c r="JW54" s="456"/>
      <c r="JX54" s="456"/>
      <c r="JY54" s="456"/>
      <c r="JZ54" s="456"/>
      <c r="KA54" s="456"/>
      <c r="KB54" s="456"/>
      <c r="KC54" s="456"/>
      <c r="KD54" s="456"/>
      <c r="KE54" s="456"/>
      <c r="KF54" s="456"/>
    </row>
    <row r="55" spans="1:292" ht="70" customHeight="1" thickBot="1">
      <c r="A55" s="170" t="s">
        <v>194</v>
      </c>
      <c r="B55" s="339" t="s">
        <v>195</v>
      </c>
      <c r="C55" s="344" t="s">
        <v>196</v>
      </c>
      <c r="D55" s="334">
        <v>0</v>
      </c>
      <c r="E55" s="334">
        <v>0</v>
      </c>
      <c r="F55" s="335">
        <v>45952</v>
      </c>
      <c r="G55" s="41" t="s">
        <v>120</v>
      </c>
      <c r="H55" s="41"/>
      <c r="I55" s="41" t="s">
        <v>680</v>
      </c>
      <c r="J55" s="150" t="s">
        <v>722</v>
      </c>
      <c r="K55" s="236" t="s">
        <v>33</v>
      </c>
      <c r="L55" s="561" t="s">
        <v>34</v>
      </c>
      <c r="M55" s="61">
        <v>46087</v>
      </c>
      <c r="N55" s="134">
        <v>46478</v>
      </c>
      <c r="O55" s="61">
        <v>46189</v>
      </c>
      <c r="P55" s="526">
        <v>45945</v>
      </c>
      <c r="Q55" s="451">
        <f t="shared" si="11"/>
        <v>45990</v>
      </c>
      <c r="R55" s="452">
        <f>T55-66</f>
        <v>46113</v>
      </c>
      <c r="S55" s="53"/>
      <c r="T55" s="453">
        <v>46179</v>
      </c>
      <c r="U55" s="336">
        <f t="shared" ref="U55" si="15">T55-O55</f>
        <v>-10</v>
      </c>
      <c r="V55" s="262" t="s">
        <v>768</v>
      </c>
      <c r="W55" s="75" t="s">
        <v>732</v>
      </c>
      <c r="X55" s="551"/>
      <c r="Y55" s="465"/>
      <c r="Z55" s="465"/>
      <c r="AA55" s="465"/>
      <c r="AB55" s="465"/>
      <c r="AC55" s="465"/>
      <c r="AD55" s="465"/>
      <c r="AE55" s="465"/>
      <c r="AF55" s="456"/>
      <c r="AG55" s="456"/>
      <c r="AH55" s="340"/>
      <c r="AI55" s="465"/>
      <c r="AJ55" s="457"/>
      <c r="AK55" s="457"/>
      <c r="AL55" s="456"/>
      <c r="AM55" s="465"/>
      <c r="AN55" s="465"/>
      <c r="AO55" s="465"/>
      <c r="AP55" s="456"/>
      <c r="AQ55" s="465"/>
      <c r="AR55" s="465"/>
      <c r="AS55" s="465"/>
      <c r="AT55" s="465"/>
      <c r="AU55" s="465"/>
      <c r="AV55" s="465"/>
      <c r="AW55" s="465"/>
      <c r="AX55" s="465"/>
      <c r="AY55" s="465"/>
      <c r="AZ55" s="465"/>
      <c r="BA55" s="465"/>
      <c r="BB55" s="456"/>
      <c r="BC55" s="456"/>
      <c r="BD55" s="456"/>
      <c r="BE55" s="456"/>
      <c r="BF55" s="456"/>
      <c r="BG55" s="456"/>
      <c r="BH55" s="456"/>
      <c r="BI55" s="456"/>
      <c r="BJ55" s="456"/>
      <c r="BK55" s="456"/>
      <c r="BL55" s="456"/>
      <c r="BM55" s="456"/>
      <c r="BN55" s="456"/>
      <c r="BO55" s="456"/>
      <c r="BP55" s="456"/>
      <c r="BQ55" s="456"/>
      <c r="BR55" s="456"/>
      <c r="BS55" s="2"/>
      <c r="BT55" s="456"/>
      <c r="BU55" s="456"/>
      <c r="BV55" s="456"/>
      <c r="BW55" s="505" t="s">
        <v>91</v>
      </c>
      <c r="BX55" s="505"/>
      <c r="BY55" s="505"/>
      <c r="BZ55" s="505"/>
      <c r="CA55" s="505"/>
      <c r="CB55" s="505"/>
      <c r="CC55" s="505"/>
      <c r="CD55" s="506" t="s">
        <v>87</v>
      </c>
      <c r="CE55" s="506"/>
      <c r="CF55" s="506"/>
      <c r="CG55" s="506"/>
      <c r="CH55" s="506"/>
      <c r="CI55" s="506"/>
      <c r="CJ55" s="506"/>
      <c r="CK55" s="507" t="s">
        <v>81</v>
      </c>
      <c r="CL55" s="507"/>
      <c r="CM55" s="457"/>
      <c r="CN55" s="457"/>
      <c r="CO55" s="507"/>
      <c r="CP55" s="507"/>
      <c r="CQ55" s="507"/>
      <c r="CR55" s="471" t="s">
        <v>77</v>
      </c>
      <c r="CS55" s="471"/>
      <c r="CT55" s="471"/>
      <c r="CU55" s="471"/>
      <c r="CV55" s="471"/>
      <c r="CW55" s="473" t="s">
        <v>66</v>
      </c>
      <c r="CX55" s="457"/>
      <c r="CY55" s="473"/>
      <c r="CZ55" s="473"/>
      <c r="DA55" s="473"/>
      <c r="DB55" s="4" t="s">
        <v>67</v>
      </c>
      <c r="DC55" s="4"/>
      <c r="DD55" s="559" t="s">
        <v>197</v>
      </c>
      <c r="DE55" s="559" t="s">
        <v>197</v>
      </c>
      <c r="DF55" s="559"/>
      <c r="DG55" s="559"/>
      <c r="DH55" s="559"/>
      <c r="DI55" s="559"/>
      <c r="DJ55" s="559"/>
      <c r="DK55" s="559"/>
      <c r="DL55" s="559"/>
      <c r="DM55" s="559"/>
      <c r="DN55" s="559"/>
      <c r="DO55" s="559"/>
      <c r="DP55" s="559"/>
      <c r="DQ55" s="559"/>
      <c r="DR55" s="559"/>
      <c r="DS55" s="559"/>
      <c r="DT55" s="559"/>
      <c r="DU55" s="559"/>
      <c r="DV55" s="456"/>
      <c r="DW55" s="456"/>
      <c r="DX55" s="456"/>
      <c r="DY55" s="456"/>
      <c r="DZ55" s="456"/>
      <c r="EA55" s="456"/>
      <c r="EB55" s="456"/>
      <c r="EC55" s="456"/>
      <c r="ED55" s="456"/>
      <c r="EE55" s="544"/>
      <c r="EF55" s="456"/>
      <c r="EG55" s="456"/>
      <c r="EH55" s="456"/>
      <c r="EI55" s="456"/>
      <c r="EJ55" s="456"/>
      <c r="EK55" s="456"/>
      <c r="EL55" s="457"/>
      <c r="EM55" s="457"/>
      <c r="EN55" s="456"/>
      <c r="EO55" s="456"/>
      <c r="EP55" s="456"/>
      <c r="EQ55" s="456"/>
      <c r="ER55" s="456"/>
      <c r="ES55" s="456"/>
      <c r="ET55" s="456"/>
      <c r="EU55" s="456"/>
      <c r="EV55" s="456"/>
      <c r="EW55" s="456"/>
      <c r="EX55" s="456"/>
      <c r="EY55" s="456"/>
      <c r="EZ55" s="527"/>
      <c r="FA55" s="456"/>
      <c r="FB55" s="456"/>
      <c r="FC55" s="456"/>
      <c r="FD55" s="456"/>
      <c r="FE55" s="456"/>
      <c r="FF55" s="456"/>
      <c r="FG55" s="456"/>
      <c r="FH55" s="456"/>
      <c r="FI55" s="456"/>
      <c r="FJ55" s="456"/>
      <c r="FK55" s="456"/>
      <c r="FL55" s="456"/>
      <c r="FM55" s="456"/>
      <c r="FN55" s="456"/>
      <c r="FO55" s="456"/>
      <c r="FP55" s="456"/>
      <c r="FQ55" s="456"/>
      <c r="FR55" s="456"/>
      <c r="FS55" s="456"/>
      <c r="FT55" s="456"/>
      <c r="FU55" s="456"/>
      <c r="FV55" s="456"/>
      <c r="FW55" s="456"/>
      <c r="FX55" s="456"/>
      <c r="FY55" s="456"/>
      <c r="FZ55" s="456"/>
      <c r="GA55" s="456"/>
      <c r="GB55" s="456"/>
      <c r="GC55" s="456"/>
      <c r="GD55" s="456"/>
      <c r="GE55" s="456"/>
      <c r="GF55" s="456"/>
      <c r="GG55" s="456"/>
      <c r="GH55" s="456"/>
      <c r="GI55" s="456"/>
      <c r="GJ55" s="457"/>
      <c r="GK55" s="457"/>
      <c r="GL55" s="459"/>
      <c r="GM55" s="456"/>
      <c r="GN55" s="456"/>
      <c r="GO55" s="527"/>
      <c r="GP55" s="456"/>
      <c r="GQ55" s="456"/>
      <c r="GR55" s="456"/>
      <c r="GS55" s="456"/>
      <c r="GT55" s="456"/>
      <c r="GU55" s="456"/>
      <c r="GV55" s="456"/>
      <c r="GW55" s="456"/>
      <c r="GX55" s="456"/>
      <c r="GY55" s="456"/>
      <c r="GZ55" s="456"/>
      <c r="HA55" s="456"/>
      <c r="HB55" s="456"/>
      <c r="HC55" s="456"/>
      <c r="HD55" s="456"/>
      <c r="HE55" s="456"/>
      <c r="HF55" s="456"/>
      <c r="HG55" s="456"/>
      <c r="HH55" s="456"/>
      <c r="HI55" s="456"/>
      <c r="HJ55" s="456"/>
      <c r="HK55" s="456"/>
      <c r="HL55" s="456"/>
      <c r="HM55" s="456"/>
      <c r="HN55" s="456"/>
      <c r="HO55" s="456"/>
      <c r="HP55" s="456"/>
      <c r="HQ55" s="456"/>
      <c r="HR55" s="456"/>
      <c r="HS55" s="456"/>
      <c r="HT55" s="456"/>
      <c r="HU55" s="456"/>
      <c r="HV55" s="456"/>
      <c r="HW55" s="456"/>
      <c r="HX55" s="456"/>
      <c r="HY55" s="456"/>
      <c r="HZ55" s="456"/>
      <c r="IA55" s="456"/>
      <c r="IB55" s="456"/>
      <c r="IC55" s="456"/>
      <c r="ID55" s="456"/>
      <c r="IE55" s="456"/>
      <c r="IF55" s="456"/>
      <c r="IG55" s="456"/>
      <c r="IH55" s="456"/>
      <c r="II55" s="456"/>
      <c r="IJ55" s="456"/>
      <c r="IK55" s="456"/>
      <c r="IL55" s="456"/>
      <c r="IM55" s="456"/>
      <c r="IN55" s="457"/>
      <c r="IO55" s="457"/>
      <c r="IP55" s="456"/>
      <c r="IQ55" s="456"/>
      <c r="IR55" s="456"/>
      <c r="IS55" s="456"/>
      <c r="IT55" s="456"/>
      <c r="IU55" s="456"/>
      <c r="IV55" s="456"/>
      <c r="IW55" s="456"/>
      <c r="IX55" s="456"/>
      <c r="IY55" s="456"/>
      <c r="IZ55" s="456"/>
      <c r="JA55" s="456"/>
      <c r="JB55" s="456"/>
      <c r="JC55" s="456"/>
      <c r="JD55" s="456"/>
      <c r="JE55" s="456"/>
      <c r="JF55" s="456"/>
      <c r="JG55" s="456"/>
      <c r="JH55" s="456"/>
      <c r="JI55" s="456"/>
      <c r="JJ55" s="456"/>
      <c r="JK55" s="456"/>
      <c r="JL55" s="456"/>
      <c r="JM55" s="456"/>
      <c r="JN55" s="456"/>
      <c r="JO55" s="456"/>
      <c r="JP55" s="456"/>
      <c r="JQ55" s="456"/>
      <c r="JR55" s="456"/>
      <c r="JS55" s="456"/>
      <c r="JT55" s="456"/>
      <c r="JU55" s="456"/>
      <c r="JV55" s="456"/>
      <c r="JW55" s="456"/>
      <c r="JX55" s="456"/>
      <c r="JY55" s="456"/>
      <c r="JZ55" s="456"/>
      <c r="KA55" s="456"/>
      <c r="KB55" s="456"/>
      <c r="KC55" s="456"/>
      <c r="KD55" s="456"/>
      <c r="KE55" s="456"/>
      <c r="KF55" s="456"/>
    </row>
    <row r="56" spans="1:292" ht="70" customHeight="1" thickBot="1">
      <c r="A56" s="171"/>
      <c r="B56" s="345"/>
      <c r="C56" s="345"/>
      <c r="D56" s="345"/>
      <c r="E56" s="345"/>
      <c r="F56" s="346"/>
      <c r="G56" s="347"/>
      <c r="H56" s="73"/>
      <c r="I56" s="73"/>
      <c r="J56" s="348"/>
      <c r="K56" s="240"/>
      <c r="L56" s="562"/>
      <c r="M56" s="562"/>
      <c r="N56" s="136"/>
      <c r="O56" s="54"/>
      <c r="P56" s="563"/>
      <c r="Q56" s="564"/>
      <c r="R56" s="565"/>
      <c r="S56" s="55"/>
      <c r="T56" s="566"/>
      <c r="U56" s="263"/>
      <c r="V56" s="263"/>
      <c r="W56" s="213"/>
      <c r="X56" s="567"/>
      <c r="Y56" s="568"/>
      <c r="Z56" s="568"/>
      <c r="AA56" s="568"/>
      <c r="AB56" s="568"/>
      <c r="AC56" s="568"/>
      <c r="AD56" s="568"/>
      <c r="AE56" s="568"/>
      <c r="AF56" s="568"/>
      <c r="AG56" s="568"/>
      <c r="AH56" s="349"/>
      <c r="AI56" s="568"/>
      <c r="AJ56" s="568"/>
      <c r="AK56" s="568"/>
      <c r="AL56" s="568"/>
      <c r="AM56" s="568"/>
      <c r="AN56" s="568"/>
      <c r="AO56" s="568"/>
      <c r="AP56" s="568"/>
      <c r="AQ56" s="568"/>
      <c r="AR56" s="568"/>
      <c r="AS56" s="568"/>
      <c r="AT56" s="568"/>
      <c r="AU56" s="568"/>
      <c r="AV56" s="568"/>
      <c r="AW56" s="568"/>
      <c r="AX56" s="568"/>
      <c r="AY56" s="568"/>
      <c r="AZ56" s="568"/>
      <c r="BA56" s="568"/>
      <c r="BB56" s="568"/>
      <c r="BC56" s="28"/>
      <c r="BD56" s="28"/>
      <c r="BE56" s="569"/>
      <c r="BF56" s="569"/>
      <c r="BG56" s="569"/>
      <c r="BH56" s="569"/>
      <c r="BI56" s="569"/>
      <c r="BJ56" s="569"/>
      <c r="BK56" s="569"/>
      <c r="BL56" s="569"/>
      <c r="BM56" s="569"/>
      <c r="BN56" s="569"/>
      <c r="BO56" s="569"/>
      <c r="BP56" s="569"/>
      <c r="BQ56" s="569"/>
      <c r="BR56" s="569"/>
      <c r="BS56" s="569"/>
      <c r="BT56" s="568"/>
      <c r="BU56" s="568"/>
      <c r="BV56" s="568"/>
      <c r="BW56" s="568"/>
      <c r="BX56" s="568"/>
      <c r="BY56" s="568"/>
      <c r="BZ56" s="568"/>
      <c r="CA56" s="568"/>
      <c r="CB56" s="568"/>
      <c r="CC56" s="568"/>
      <c r="CD56" s="568"/>
      <c r="CE56" s="568"/>
      <c r="CF56" s="568"/>
      <c r="CG56" s="568"/>
      <c r="CH56" s="568"/>
      <c r="CI56" s="568"/>
      <c r="CJ56" s="568"/>
      <c r="CK56" s="568"/>
      <c r="CL56" s="568"/>
      <c r="CM56" s="568"/>
      <c r="CN56" s="568"/>
      <c r="CO56" s="568"/>
      <c r="CP56" s="568"/>
      <c r="CQ56" s="568"/>
      <c r="CR56" s="568"/>
      <c r="CS56" s="568"/>
      <c r="CT56" s="568"/>
      <c r="CU56" s="568"/>
      <c r="CV56" s="568"/>
      <c r="CW56" s="568"/>
      <c r="CX56" s="568"/>
      <c r="CY56" s="568"/>
      <c r="CZ56" s="568"/>
      <c r="DA56" s="568"/>
      <c r="DB56" s="568"/>
      <c r="DC56" s="568"/>
      <c r="DD56" s="568"/>
      <c r="DE56" s="568"/>
      <c r="DF56" s="568"/>
      <c r="DG56" s="568"/>
      <c r="DH56" s="29"/>
      <c r="DI56" s="29"/>
      <c r="DJ56" s="29"/>
      <c r="DK56" s="29"/>
      <c r="DL56" s="29"/>
      <c r="DM56" s="29"/>
      <c r="DN56" s="29"/>
      <c r="DO56" s="29"/>
      <c r="DP56" s="29"/>
      <c r="DQ56" s="29"/>
      <c r="DR56" s="29"/>
      <c r="DS56" s="29"/>
      <c r="DT56" s="29"/>
      <c r="DU56" s="29"/>
      <c r="DV56" s="29"/>
      <c r="DW56" s="29"/>
      <c r="DX56" s="29"/>
      <c r="DY56" s="29"/>
      <c r="DZ56" s="29"/>
      <c r="EA56" s="29"/>
      <c r="EB56" s="29"/>
      <c r="EC56" s="29"/>
      <c r="ED56" s="29"/>
      <c r="EE56" s="207"/>
      <c r="EF56" s="29"/>
      <c r="EG56" s="29"/>
      <c r="EH56" s="29"/>
      <c r="EI56" s="29"/>
      <c r="EJ56" s="29"/>
      <c r="EK56" s="29"/>
      <c r="EL56" s="29"/>
      <c r="EM56" s="29"/>
      <c r="EN56" s="29"/>
      <c r="EO56" s="29"/>
      <c r="EP56" s="29"/>
      <c r="EQ56" s="29"/>
      <c r="ER56" s="29"/>
      <c r="ES56" s="29"/>
      <c r="ET56" s="29"/>
      <c r="EU56" s="29"/>
      <c r="EV56" s="29"/>
      <c r="EW56" s="29"/>
      <c r="EX56" s="29"/>
      <c r="EY56" s="29"/>
      <c r="EZ56" s="29"/>
      <c r="FA56" s="29"/>
      <c r="FB56" s="29"/>
      <c r="FC56" s="29"/>
      <c r="FD56" s="29"/>
      <c r="FE56" s="29"/>
      <c r="FF56" s="29"/>
      <c r="FG56" s="29"/>
      <c r="FH56" s="29"/>
      <c r="FI56" s="29"/>
      <c r="FJ56" s="29"/>
      <c r="FK56" s="29"/>
      <c r="FL56" s="29"/>
      <c r="FM56" s="29"/>
      <c r="FN56" s="29"/>
      <c r="FO56" s="29"/>
      <c r="FP56" s="29"/>
      <c r="FQ56" s="29"/>
      <c r="FR56" s="29"/>
      <c r="FS56" s="29"/>
      <c r="FT56" s="29"/>
      <c r="FU56" s="29"/>
      <c r="FV56" s="29"/>
      <c r="FW56" s="29"/>
      <c r="FX56" s="29"/>
      <c r="FY56" s="29"/>
      <c r="FZ56" s="29"/>
      <c r="GA56" s="29"/>
      <c r="GB56" s="29"/>
      <c r="GC56" s="29"/>
      <c r="GD56" s="29"/>
      <c r="GE56" s="29"/>
      <c r="GF56" s="29"/>
      <c r="GG56" s="29"/>
      <c r="GH56" s="29"/>
      <c r="GI56" s="29"/>
      <c r="GJ56" s="29"/>
      <c r="GK56" s="29"/>
      <c r="GL56" s="210"/>
      <c r="GM56" s="210"/>
      <c r="GN56" s="210"/>
      <c r="GO56" s="207"/>
      <c r="GP56" s="29"/>
      <c r="GQ56" s="29"/>
      <c r="GR56" s="29"/>
      <c r="GS56" s="29"/>
      <c r="GT56" s="29"/>
      <c r="GU56" s="29"/>
      <c r="GV56" s="29"/>
      <c r="GW56" s="29"/>
      <c r="GX56" s="29"/>
      <c r="GY56" s="29"/>
      <c r="GZ56" s="29"/>
      <c r="HA56" s="29"/>
      <c r="HB56" s="29"/>
      <c r="HC56" s="29"/>
      <c r="HD56" s="29"/>
      <c r="HE56" s="29"/>
      <c r="HF56" s="29"/>
      <c r="HG56" s="29"/>
      <c r="HH56" s="29"/>
      <c r="HI56" s="29"/>
      <c r="HJ56" s="29"/>
      <c r="HK56" s="29"/>
      <c r="HL56" s="29"/>
      <c r="HM56" s="29"/>
      <c r="HN56" s="29"/>
      <c r="HO56" s="29"/>
      <c r="HP56" s="29"/>
      <c r="HQ56" s="29"/>
      <c r="HR56" s="29"/>
      <c r="HS56" s="29"/>
      <c r="HT56" s="29"/>
      <c r="HU56" s="29"/>
      <c r="HV56" s="29"/>
      <c r="HW56" s="29"/>
      <c r="HX56" s="29"/>
      <c r="HY56" s="29"/>
      <c r="HZ56" s="29"/>
      <c r="IA56" s="29"/>
      <c r="IB56" s="29"/>
      <c r="IC56" s="29"/>
      <c r="ID56" s="29"/>
      <c r="IE56" s="29"/>
      <c r="IF56" s="29"/>
      <c r="IG56" s="29"/>
      <c r="IH56" s="29"/>
      <c r="II56" s="29"/>
      <c r="IJ56" s="29"/>
      <c r="IK56" s="29"/>
      <c r="IL56" s="29"/>
      <c r="IM56" s="29"/>
      <c r="IN56" s="29"/>
      <c r="IO56" s="29"/>
      <c r="IP56" s="29"/>
      <c r="IQ56" s="29"/>
      <c r="IR56" s="29"/>
      <c r="IS56" s="29"/>
      <c r="IT56" s="29"/>
      <c r="IU56" s="29"/>
      <c r="IV56" s="29"/>
      <c r="IW56" s="29"/>
      <c r="IX56" s="29"/>
      <c r="IY56" s="29"/>
      <c r="IZ56" s="29"/>
      <c r="JA56" s="29"/>
      <c r="JB56" s="29"/>
      <c r="JC56" s="29"/>
      <c r="JD56" s="29"/>
      <c r="JE56" s="29"/>
      <c r="JF56" s="29"/>
      <c r="JG56" s="29"/>
      <c r="JH56" s="29"/>
      <c r="JI56" s="29"/>
      <c r="JJ56" s="29"/>
      <c r="JK56" s="29"/>
      <c r="JL56" s="29"/>
      <c r="JM56" s="29"/>
      <c r="JN56" s="29"/>
      <c r="JO56" s="29"/>
      <c r="JP56" s="29"/>
      <c r="JQ56" s="29"/>
      <c r="JR56" s="29"/>
      <c r="JS56" s="29"/>
      <c r="JT56" s="29"/>
      <c r="JU56" s="29"/>
      <c r="JV56" s="29"/>
      <c r="JW56" s="29"/>
      <c r="JX56" s="29"/>
      <c r="JY56" s="29"/>
      <c r="JZ56" s="29"/>
      <c r="KA56" s="29"/>
      <c r="KB56" s="29"/>
      <c r="KC56" s="29"/>
      <c r="KD56" s="29"/>
      <c r="KE56" s="29"/>
      <c r="KF56" s="29"/>
    </row>
    <row r="57" spans="1:292" ht="70" customHeight="1">
      <c r="A57" s="169" t="s">
        <v>198</v>
      </c>
      <c r="B57" s="334"/>
      <c r="C57" s="334"/>
      <c r="D57" s="334"/>
      <c r="E57" s="334"/>
      <c r="F57" s="335" t="s">
        <v>199</v>
      </c>
      <c r="G57" s="350" t="s">
        <v>200</v>
      </c>
      <c r="H57" s="313" t="s">
        <v>501</v>
      </c>
      <c r="I57" s="104" t="s">
        <v>54</v>
      </c>
      <c r="J57" s="156" t="s">
        <v>115</v>
      </c>
      <c r="K57" s="241"/>
      <c r="L57" s="321" t="s">
        <v>73</v>
      </c>
      <c r="M57" s="497"/>
      <c r="N57" s="141"/>
      <c r="O57" s="61"/>
      <c r="P57" s="570">
        <v>46004</v>
      </c>
      <c r="Q57" s="571">
        <v>46053</v>
      </c>
      <c r="R57" s="572">
        <v>46165</v>
      </c>
      <c r="S57" s="56"/>
      <c r="T57" s="573">
        <v>46193</v>
      </c>
      <c r="U57" s="259"/>
      <c r="V57" s="264" t="s">
        <v>769</v>
      </c>
      <c r="W57" s="75" t="s">
        <v>733</v>
      </c>
      <c r="X57" s="551"/>
      <c r="Y57" s="465"/>
      <c r="Z57" s="465"/>
      <c r="AA57" s="465"/>
      <c r="AB57" s="465"/>
      <c r="AC57" s="465"/>
      <c r="AD57" s="465"/>
      <c r="AE57" s="465"/>
      <c r="AF57" s="456"/>
      <c r="AG57" s="456"/>
      <c r="AH57" s="340"/>
      <c r="AI57" s="465"/>
      <c r="AJ57" s="457"/>
      <c r="AK57" s="457"/>
      <c r="AL57" s="456"/>
      <c r="AM57" s="465"/>
      <c r="AN57" s="465"/>
      <c r="AO57" s="465"/>
      <c r="AP57" s="456"/>
      <c r="AQ57" s="465"/>
      <c r="AR57" s="465"/>
      <c r="AS57" s="465"/>
      <c r="AT57" s="465"/>
      <c r="AU57" s="465"/>
      <c r="AV57" s="465"/>
      <c r="AW57" s="465"/>
      <c r="AX57" s="465"/>
      <c r="AY57" s="465"/>
      <c r="AZ57" s="465"/>
      <c r="BA57" s="465"/>
      <c r="BB57" s="465"/>
      <c r="BC57" s="2"/>
      <c r="BD57" s="2"/>
      <c r="BE57" s="456"/>
      <c r="BF57" s="456"/>
      <c r="BG57" s="456"/>
      <c r="BH57" s="456"/>
      <c r="BI57" s="456"/>
      <c r="BJ57" s="456"/>
      <c r="BK57" s="465"/>
      <c r="BL57" s="456"/>
      <c r="BM57" s="456"/>
      <c r="BN57" s="456"/>
      <c r="BO57" s="456"/>
      <c r="BP57" s="456"/>
      <c r="BQ57" s="456"/>
      <c r="BR57" s="456"/>
      <c r="BS57" s="456"/>
      <c r="BT57" s="456"/>
      <c r="BU57" s="465"/>
      <c r="BV57" s="465"/>
      <c r="BW57" s="465"/>
      <c r="BX57" s="465"/>
      <c r="BY57" s="465"/>
      <c r="BZ57" s="465"/>
      <c r="CA57" s="456"/>
      <c r="CB57" s="456"/>
      <c r="CC57" s="456"/>
      <c r="CD57" s="505" t="s">
        <v>201</v>
      </c>
      <c r="CE57" s="505">
        <v>1280</v>
      </c>
      <c r="CF57" s="505"/>
      <c r="CG57" s="505"/>
      <c r="CH57" s="505"/>
      <c r="CI57" s="505"/>
      <c r="CJ57" s="505"/>
      <c r="CK57" s="506" t="s">
        <v>87</v>
      </c>
      <c r="CL57" s="506"/>
      <c r="CM57" s="457"/>
      <c r="CN57" s="457"/>
      <c r="CO57" s="506"/>
      <c r="CP57" s="506"/>
      <c r="CQ57" s="506"/>
      <c r="CR57" s="507" t="s">
        <v>81</v>
      </c>
      <c r="CS57" s="507"/>
      <c r="CT57" s="507"/>
      <c r="CU57" s="507"/>
      <c r="CV57" s="507"/>
      <c r="CW57" s="471" t="s">
        <v>77</v>
      </c>
      <c r="CX57" s="457"/>
      <c r="CY57" s="471"/>
      <c r="CZ57" s="471"/>
      <c r="DA57" s="471"/>
      <c r="DB57" s="473" t="s">
        <v>66</v>
      </c>
      <c r="DC57" s="473"/>
      <c r="DD57" s="473"/>
      <c r="DE57" s="473"/>
      <c r="DF57" s="4" t="s">
        <v>67</v>
      </c>
      <c r="DG57" s="4"/>
      <c r="DH57" s="206" t="s">
        <v>190</v>
      </c>
      <c r="DI57" s="206"/>
      <c r="DJ57" s="206"/>
      <c r="DK57" s="534" t="s">
        <v>202</v>
      </c>
      <c r="DL57" s="534"/>
      <c r="DM57" s="534"/>
      <c r="DN57" s="534"/>
      <c r="DO57" s="534"/>
      <c r="DP57" s="534"/>
      <c r="DQ57" s="534"/>
      <c r="DR57" s="534"/>
      <c r="DS57" s="574"/>
      <c r="DT57" s="575" t="s">
        <v>203</v>
      </c>
      <c r="DU57" s="456"/>
      <c r="DV57" s="456"/>
      <c r="DW57" s="456"/>
      <c r="DX57" s="456"/>
      <c r="DY57" s="456"/>
      <c r="DZ57" s="456"/>
      <c r="EA57" s="456"/>
      <c r="EB57" s="456"/>
      <c r="EC57" s="456"/>
      <c r="ED57" s="456"/>
      <c r="EE57" s="527"/>
      <c r="EF57" s="456"/>
      <c r="EG57" s="456"/>
      <c r="EH57" s="456"/>
      <c r="EI57" s="456"/>
      <c r="EJ57" s="456"/>
      <c r="EK57" s="456"/>
      <c r="EL57" s="457"/>
      <c r="EM57" s="457"/>
      <c r="EN57" s="456"/>
      <c r="EO57" s="456"/>
      <c r="EP57" s="456"/>
      <c r="EQ57" s="456"/>
      <c r="ER57" s="456"/>
      <c r="ES57" s="456"/>
      <c r="ET57" s="456"/>
      <c r="EU57" s="456"/>
      <c r="EV57" s="456"/>
      <c r="EW57" s="456"/>
      <c r="EX57" s="456"/>
      <c r="EY57" s="456"/>
      <c r="EZ57" s="456"/>
      <c r="FA57" s="456"/>
      <c r="FB57" s="456"/>
      <c r="FC57" s="456"/>
      <c r="FD57" s="456"/>
      <c r="FE57" s="456"/>
      <c r="FF57" s="456"/>
      <c r="FG57" s="456"/>
      <c r="FH57" s="456"/>
      <c r="FI57" s="456"/>
      <c r="FJ57" s="456"/>
      <c r="FK57" s="456"/>
      <c r="FL57" s="456"/>
      <c r="FM57" s="456"/>
      <c r="FN57" s="456"/>
      <c r="FO57" s="456"/>
      <c r="FP57" s="456"/>
      <c r="FQ57" s="456"/>
      <c r="FR57" s="456"/>
      <c r="FS57" s="456"/>
      <c r="FT57" s="456"/>
      <c r="FU57" s="456"/>
      <c r="FV57" s="456"/>
      <c r="FW57" s="456"/>
      <c r="FX57" s="456"/>
      <c r="FY57" s="456"/>
      <c r="FZ57" s="456"/>
      <c r="GA57" s="456"/>
      <c r="GB57" s="456"/>
      <c r="GC57" s="456"/>
      <c r="GD57" s="456"/>
      <c r="GE57" s="456"/>
      <c r="GF57" s="456"/>
      <c r="GG57" s="456"/>
      <c r="GH57" s="456"/>
      <c r="GI57" s="456"/>
      <c r="GJ57" s="457"/>
      <c r="GK57" s="457"/>
      <c r="GL57" s="459"/>
      <c r="GM57" s="456"/>
      <c r="GN57" s="456"/>
      <c r="GO57" s="527"/>
      <c r="GP57" s="456"/>
      <c r="GQ57" s="456"/>
      <c r="GR57" s="456"/>
      <c r="GS57" s="456"/>
      <c r="GT57" s="456"/>
      <c r="GU57" s="456"/>
      <c r="GV57" s="456"/>
      <c r="GW57" s="456"/>
      <c r="GX57" s="456"/>
      <c r="GY57" s="456"/>
      <c r="GZ57" s="456"/>
      <c r="HA57" s="456"/>
      <c r="HB57" s="456"/>
      <c r="HC57" s="456"/>
      <c r="HD57" s="456"/>
      <c r="HE57" s="456"/>
      <c r="HF57" s="456"/>
      <c r="HG57" s="456"/>
      <c r="HH57" s="456"/>
      <c r="HI57" s="456"/>
      <c r="HJ57" s="456"/>
      <c r="HK57" s="456"/>
      <c r="HL57" s="456"/>
      <c r="HM57" s="456"/>
      <c r="HN57" s="456"/>
      <c r="HO57" s="456"/>
      <c r="HP57" s="456"/>
      <c r="HQ57" s="456"/>
      <c r="HR57" s="456"/>
      <c r="HS57" s="456"/>
      <c r="HT57" s="456"/>
      <c r="HU57" s="456"/>
      <c r="HV57" s="456"/>
      <c r="HW57" s="456"/>
      <c r="HX57" s="456"/>
      <c r="HY57" s="456"/>
      <c r="HZ57" s="456"/>
      <c r="IA57" s="456"/>
      <c r="IB57" s="456"/>
      <c r="IC57" s="456"/>
      <c r="ID57" s="456"/>
      <c r="IE57" s="456"/>
      <c r="IF57" s="456"/>
      <c r="IG57" s="456"/>
      <c r="IH57" s="456"/>
      <c r="II57" s="456"/>
      <c r="IJ57" s="456"/>
      <c r="IK57" s="456"/>
      <c r="IL57" s="456"/>
      <c r="IM57" s="456"/>
      <c r="IN57" s="457"/>
      <c r="IO57" s="457"/>
      <c r="IP57" s="456"/>
      <c r="IQ57" s="456"/>
      <c r="IR57" s="456"/>
      <c r="IS57" s="456"/>
      <c r="IT57" s="456"/>
      <c r="IU57" s="456"/>
      <c r="IV57" s="456"/>
      <c r="IW57" s="456"/>
      <c r="IX57" s="456"/>
      <c r="IY57" s="456"/>
      <c r="IZ57" s="456"/>
      <c r="JA57" s="456"/>
      <c r="JB57" s="456"/>
      <c r="JC57" s="456"/>
      <c r="JD57" s="456"/>
      <c r="JE57" s="456"/>
      <c r="JF57" s="456"/>
      <c r="JG57" s="456"/>
      <c r="JH57" s="456"/>
      <c r="JI57" s="456"/>
      <c r="JJ57" s="456"/>
      <c r="JK57" s="456"/>
      <c r="JL57" s="456"/>
      <c r="JM57" s="456"/>
      <c r="JN57" s="456"/>
      <c r="JO57" s="456"/>
      <c r="JP57" s="456"/>
      <c r="JQ57" s="456"/>
      <c r="JR57" s="456"/>
      <c r="JS57" s="456"/>
      <c r="JT57" s="456"/>
      <c r="JU57" s="456"/>
      <c r="JV57" s="456"/>
      <c r="JW57" s="456"/>
      <c r="JX57" s="456"/>
      <c r="JY57" s="456"/>
      <c r="JZ57" s="456"/>
      <c r="KA57" s="456"/>
      <c r="KB57" s="456"/>
      <c r="KC57" s="456"/>
      <c r="KD57" s="456"/>
      <c r="KE57" s="456"/>
      <c r="KF57" s="456"/>
    </row>
    <row r="58" spans="1:292" ht="70" customHeight="1">
      <c r="A58" s="170" t="s">
        <v>192</v>
      </c>
      <c r="B58" s="334"/>
      <c r="C58" s="334"/>
      <c r="D58" s="334"/>
      <c r="E58" s="334"/>
      <c r="F58" s="335" t="s">
        <v>199</v>
      </c>
      <c r="G58" s="350" t="s">
        <v>204</v>
      </c>
      <c r="H58" s="313" t="s">
        <v>754</v>
      </c>
      <c r="I58" s="41" t="s">
        <v>680</v>
      </c>
      <c r="J58" s="576" t="s">
        <v>205</v>
      </c>
      <c r="K58" s="237"/>
      <c r="L58" s="41" t="s">
        <v>55</v>
      </c>
      <c r="M58" s="497"/>
      <c r="N58" s="141"/>
      <c r="O58" s="61"/>
      <c r="P58" s="526">
        <v>46053</v>
      </c>
      <c r="Q58" s="571">
        <v>46102</v>
      </c>
      <c r="R58" s="572">
        <v>46193</v>
      </c>
      <c r="S58" s="32"/>
      <c r="T58" s="453">
        <v>46235</v>
      </c>
      <c r="U58" s="259"/>
      <c r="V58" s="262" t="s">
        <v>770</v>
      </c>
      <c r="W58" s="75" t="s">
        <v>733</v>
      </c>
      <c r="X58" s="551"/>
      <c r="Y58" s="465"/>
      <c r="Z58" s="465"/>
      <c r="AA58" s="465"/>
      <c r="AB58" s="465"/>
      <c r="AC58" s="465"/>
      <c r="AD58" s="465"/>
      <c r="AE58" s="465"/>
      <c r="AF58" s="456"/>
      <c r="AG58" s="456"/>
      <c r="AH58" s="340"/>
      <c r="AI58" s="465"/>
      <c r="AJ58" s="457"/>
      <c r="AK58" s="457"/>
      <c r="AL58" s="465"/>
      <c r="AM58" s="551"/>
      <c r="AN58" s="465"/>
      <c r="AO58" s="465"/>
      <c r="AP58" s="465"/>
      <c r="AQ58" s="465"/>
      <c r="AR58" s="465"/>
      <c r="AS58" s="465"/>
      <c r="AT58" s="465"/>
      <c r="AU58" s="465"/>
      <c r="AV58" s="465"/>
      <c r="AW58" s="465"/>
      <c r="AX58" s="465"/>
      <c r="AY58" s="465"/>
      <c r="AZ58" s="465"/>
      <c r="BA58" s="465"/>
      <c r="BB58" s="465"/>
      <c r="BC58" s="465"/>
      <c r="BD58" s="465"/>
      <c r="BE58" s="465"/>
      <c r="BF58" s="465"/>
      <c r="BG58" s="465"/>
      <c r="BH58" s="465"/>
      <c r="BI58" s="465"/>
      <c r="BJ58" s="465"/>
      <c r="BK58" s="465"/>
      <c r="BL58" s="465"/>
      <c r="BM58" s="456"/>
      <c r="BN58" s="456"/>
      <c r="BO58" s="456"/>
      <c r="BP58" s="456"/>
      <c r="BQ58" s="456"/>
      <c r="BR58" s="456"/>
      <c r="BS58" s="456"/>
      <c r="BT58" s="456"/>
      <c r="BU58" s="456"/>
      <c r="BV58" s="456"/>
      <c r="BW58" s="456"/>
      <c r="BX58" s="456"/>
      <c r="BY58" s="456"/>
      <c r="BZ58" s="456"/>
      <c r="CA58" s="456"/>
      <c r="CB58" s="456"/>
      <c r="CC58" s="456"/>
      <c r="CD58" s="456"/>
      <c r="CE58" s="456"/>
      <c r="CF58" s="456"/>
      <c r="CG58" s="456"/>
      <c r="CH58" s="456"/>
      <c r="CI58" s="456"/>
      <c r="CJ58" s="456"/>
      <c r="CK58" s="505" t="s">
        <v>91</v>
      </c>
      <c r="CL58" s="505"/>
      <c r="CM58" s="457"/>
      <c r="CN58" s="457"/>
      <c r="CO58" s="505"/>
      <c r="CP58" s="505"/>
      <c r="CQ58" s="505"/>
      <c r="CR58" s="506" t="s">
        <v>87</v>
      </c>
      <c r="CS58" s="506"/>
      <c r="CT58" s="506"/>
      <c r="CU58" s="506"/>
      <c r="CV58" s="506"/>
      <c r="CW58" s="507" t="s">
        <v>81</v>
      </c>
      <c r="CX58" s="457"/>
      <c r="CY58" s="507"/>
      <c r="CZ58" s="507"/>
      <c r="DA58" s="507"/>
      <c r="DB58" s="471" t="s">
        <v>77</v>
      </c>
      <c r="DC58" s="471"/>
      <c r="DD58" s="471"/>
      <c r="DE58" s="471"/>
      <c r="DF58" s="473" t="s">
        <v>66</v>
      </c>
      <c r="DG58" s="473"/>
      <c r="DH58" s="473"/>
      <c r="DI58" s="473"/>
      <c r="DJ58" s="4" t="s">
        <v>67</v>
      </c>
      <c r="DK58" s="4"/>
      <c r="DL58" s="465"/>
      <c r="DM58" s="465"/>
      <c r="DN58" s="456"/>
      <c r="DO58" s="456"/>
      <c r="DP58" s="465"/>
      <c r="DQ58" s="465"/>
      <c r="DR58" s="465"/>
      <c r="DS58" s="465"/>
      <c r="DT58" s="465"/>
      <c r="DU58" s="456"/>
      <c r="DV58" s="456"/>
      <c r="DW58" s="456"/>
      <c r="DX58" s="456"/>
      <c r="DY58" s="456"/>
      <c r="DZ58" s="456"/>
      <c r="EA58" s="456"/>
      <c r="EB58" s="456"/>
      <c r="EC58" s="456"/>
      <c r="ED58" s="456"/>
      <c r="EE58" s="527"/>
      <c r="EF58" s="456"/>
      <c r="EG58" s="456"/>
      <c r="EH58" s="456"/>
      <c r="EI58" s="456"/>
      <c r="EJ58" s="456"/>
      <c r="EK58" s="456"/>
      <c r="EL58" s="457"/>
      <c r="EM58" s="457"/>
      <c r="EN58" s="456"/>
      <c r="EO58" s="456"/>
      <c r="EP58" s="456"/>
      <c r="EQ58" s="456"/>
      <c r="ER58" s="456"/>
      <c r="ES58" s="456"/>
      <c r="ET58" s="456"/>
      <c r="EU58" s="456"/>
      <c r="EV58" s="456"/>
      <c r="EW58" s="456"/>
      <c r="EX58" s="456"/>
      <c r="EY58" s="456"/>
      <c r="EZ58" s="456"/>
      <c r="FA58" s="456"/>
      <c r="FB58" s="456"/>
      <c r="FC58" s="456"/>
      <c r="FD58" s="456"/>
      <c r="FE58" s="456"/>
      <c r="FF58" s="456"/>
      <c r="FG58" s="456"/>
      <c r="FH58" s="456"/>
      <c r="FI58" s="456"/>
      <c r="FJ58" s="456"/>
      <c r="FK58" s="456"/>
      <c r="FL58" s="456"/>
      <c r="FM58" s="456"/>
      <c r="FN58" s="456"/>
      <c r="FO58" s="456"/>
      <c r="FP58" s="456"/>
      <c r="FQ58" s="456"/>
      <c r="FR58" s="456"/>
      <c r="FS58" s="456"/>
      <c r="FT58" s="456"/>
      <c r="FU58" s="456"/>
      <c r="FV58" s="456"/>
      <c r="FW58" s="456"/>
      <c r="FX58" s="456"/>
      <c r="FY58" s="456"/>
      <c r="FZ58" s="456"/>
      <c r="GA58" s="456"/>
      <c r="GB58" s="456"/>
      <c r="GC58" s="456"/>
      <c r="GD58" s="456"/>
      <c r="GE58" s="456"/>
      <c r="GF58" s="456"/>
      <c r="GG58" s="456"/>
      <c r="GH58" s="456"/>
      <c r="GI58" s="456"/>
      <c r="GJ58" s="457"/>
      <c r="GK58" s="457"/>
      <c r="GL58" s="459"/>
      <c r="GM58" s="456"/>
      <c r="GN58" s="456"/>
      <c r="GO58" s="527"/>
      <c r="GP58" s="456"/>
      <c r="GQ58" s="456"/>
      <c r="GR58" s="456"/>
      <c r="GS58" s="456"/>
      <c r="GT58" s="456"/>
      <c r="GU58" s="456"/>
      <c r="GV58" s="456"/>
      <c r="GW58" s="456"/>
      <c r="GX58" s="456"/>
      <c r="GY58" s="456"/>
      <c r="GZ58" s="456"/>
      <c r="HA58" s="456"/>
      <c r="HB58" s="456"/>
      <c r="HC58" s="456"/>
      <c r="HD58" s="456"/>
      <c r="HE58" s="456"/>
      <c r="HF58" s="456"/>
      <c r="HG58" s="456"/>
      <c r="HH58" s="456"/>
      <c r="HI58" s="456"/>
      <c r="HJ58" s="456"/>
      <c r="HK58" s="456"/>
      <c r="HL58" s="456"/>
      <c r="HM58" s="456"/>
      <c r="HN58" s="456"/>
      <c r="HO58" s="456"/>
      <c r="HP58" s="456"/>
      <c r="HQ58" s="456"/>
      <c r="HR58" s="456"/>
      <c r="HS58" s="456"/>
      <c r="HT58" s="456"/>
      <c r="HU58" s="456"/>
      <c r="HV58" s="456"/>
      <c r="HW58" s="456"/>
      <c r="HX58" s="456"/>
      <c r="HY58" s="456"/>
      <c r="HZ58" s="456"/>
      <c r="IA58" s="456"/>
      <c r="IB58" s="456"/>
      <c r="IC58" s="456"/>
      <c r="ID58" s="456"/>
      <c r="IE58" s="456"/>
      <c r="IF58" s="456"/>
      <c r="IG58" s="456"/>
      <c r="IH58" s="456"/>
      <c r="II58" s="456"/>
      <c r="IJ58" s="456"/>
      <c r="IK58" s="456"/>
      <c r="IL58" s="456"/>
      <c r="IM58" s="456"/>
      <c r="IN58" s="457"/>
      <c r="IO58" s="457"/>
      <c r="IP58" s="456"/>
      <c r="IQ58" s="456"/>
      <c r="IR58" s="456"/>
      <c r="IS58" s="456"/>
      <c r="IT58" s="456"/>
      <c r="IU58" s="456"/>
      <c r="IV58" s="456"/>
      <c r="IW58" s="456"/>
      <c r="IX58" s="456"/>
      <c r="IY58" s="456"/>
      <c r="IZ58" s="456"/>
      <c r="JA58" s="456"/>
      <c r="JB58" s="456"/>
      <c r="JC58" s="456"/>
      <c r="JD58" s="456"/>
      <c r="JE58" s="456"/>
      <c r="JF58" s="456"/>
      <c r="JG58" s="456"/>
      <c r="JH58" s="456"/>
      <c r="JI58" s="456"/>
      <c r="JJ58" s="456"/>
      <c r="JK58" s="456"/>
      <c r="JL58" s="456"/>
      <c r="JM58" s="456"/>
      <c r="JN58" s="456"/>
      <c r="JO58" s="456"/>
      <c r="JP58" s="456"/>
      <c r="JQ58" s="456"/>
      <c r="JR58" s="456"/>
      <c r="JS58" s="456"/>
      <c r="JT58" s="456"/>
      <c r="JU58" s="456"/>
      <c r="JV58" s="456"/>
      <c r="JW58" s="456"/>
      <c r="JX58" s="456"/>
      <c r="JY58" s="456"/>
      <c r="JZ58" s="456"/>
      <c r="KA58" s="456"/>
      <c r="KB58" s="456"/>
      <c r="KC58" s="456"/>
      <c r="KD58" s="456"/>
      <c r="KE58" s="456"/>
      <c r="KF58" s="456"/>
    </row>
    <row r="59" spans="1:292" ht="70" customHeight="1">
      <c r="A59" s="170" t="s">
        <v>206</v>
      </c>
      <c r="B59" s="334"/>
      <c r="C59" s="334"/>
      <c r="D59" s="334"/>
      <c r="E59" s="334"/>
      <c r="F59" s="335" t="s">
        <v>504</v>
      </c>
      <c r="G59" s="350" t="s">
        <v>207</v>
      </c>
      <c r="H59" s="313" t="s">
        <v>755</v>
      </c>
      <c r="I59" s="577" t="s">
        <v>724</v>
      </c>
      <c r="J59" s="576"/>
      <c r="K59" s="237"/>
      <c r="L59" s="41" t="s">
        <v>55</v>
      </c>
      <c r="M59" s="497"/>
      <c r="N59" s="141"/>
      <c r="O59" s="61"/>
      <c r="P59" s="526">
        <v>46102</v>
      </c>
      <c r="Q59" s="571">
        <v>46137</v>
      </c>
      <c r="R59" s="572">
        <f>R58+28</f>
        <v>46221</v>
      </c>
      <c r="S59" s="32"/>
      <c r="T59" s="453">
        <f t="shared" ref="T59:T64" si="16">T58+28</f>
        <v>46263</v>
      </c>
      <c r="U59" s="259"/>
      <c r="V59" s="262" t="s">
        <v>771</v>
      </c>
      <c r="W59" s="75" t="s">
        <v>733</v>
      </c>
      <c r="X59" s="551"/>
      <c r="Y59" s="465"/>
      <c r="Z59" s="465"/>
      <c r="AA59" s="465"/>
      <c r="AB59" s="465"/>
      <c r="AC59" s="465"/>
      <c r="AD59" s="465"/>
      <c r="AE59" s="465"/>
      <c r="AF59" s="456"/>
      <c r="AG59" s="456"/>
      <c r="AH59" s="340"/>
      <c r="AI59" s="465"/>
      <c r="AJ59" s="457"/>
      <c r="AK59" s="457"/>
      <c r="AL59" s="456"/>
      <c r="AM59" s="465"/>
      <c r="AN59" s="465"/>
      <c r="AO59" s="465"/>
      <c r="AP59" s="456"/>
      <c r="AQ59" s="465"/>
      <c r="AR59" s="465"/>
      <c r="AS59" s="465"/>
      <c r="AT59" s="465"/>
      <c r="AU59" s="465"/>
      <c r="AV59" s="465"/>
      <c r="AW59" s="465"/>
      <c r="AX59" s="465"/>
      <c r="AY59" s="465"/>
      <c r="AZ59" s="465"/>
      <c r="BA59" s="465"/>
      <c r="BB59" s="465"/>
      <c r="BC59" s="2"/>
      <c r="BD59" s="2"/>
      <c r="BE59" s="456"/>
      <c r="BF59" s="456"/>
      <c r="BG59" s="456"/>
      <c r="BH59" s="456"/>
      <c r="BI59" s="456"/>
      <c r="BJ59" s="465"/>
      <c r="BK59" s="465"/>
      <c r="BL59" s="456"/>
      <c r="BM59" s="456"/>
      <c r="BN59" s="456"/>
      <c r="BO59" s="465"/>
      <c r="BP59" s="465"/>
      <c r="BQ59" s="465"/>
      <c r="BR59" s="465"/>
      <c r="BS59" s="456"/>
      <c r="BT59" s="456"/>
      <c r="BU59" s="456"/>
      <c r="BV59" s="456"/>
      <c r="BW59" s="456"/>
      <c r="BX59" s="456"/>
      <c r="BY59" s="456"/>
      <c r="BZ59" s="456"/>
      <c r="CA59" s="456"/>
      <c r="CB59" s="456"/>
      <c r="CC59" s="456"/>
      <c r="CD59" s="456"/>
      <c r="CE59" s="456"/>
      <c r="CF59" s="456"/>
      <c r="CG59" s="465"/>
      <c r="CH59" s="465"/>
      <c r="CI59" s="465"/>
      <c r="CJ59" s="465"/>
      <c r="CK59" s="465"/>
      <c r="CL59" s="456"/>
      <c r="CM59" s="457"/>
      <c r="CN59" s="457"/>
      <c r="CO59" s="456"/>
      <c r="CP59" s="456"/>
      <c r="CQ59" s="456"/>
      <c r="CR59" s="505" t="s">
        <v>91</v>
      </c>
      <c r="CS59" s="352" t="s">
        <v>208</v>
      </c>
      <c r="CT59" s="352"/>
      <c r="CU59" s="352"/>
      <c r="CV59" s="352"/>
      <c r="CW59" s="506" t="s">
        <v>87</v>
      </c>
      <c r="CX59" s="457"/>
      <c r="CY59" s="506"/>
      <c r="CZ59" s="506"/>
      <c r="DA59" s="506"/>
      <c r="DB59" s="507" t="s">
        <v>81</v>
      </c>
      <c r="DC59" s="507"/>
      <c r="DD59" s="507"/>
      <c r="DE59" s="507"/>
      <c r="DF59" s="471" t="s">
        <v>77</v>
      </c>
      <c r="DG59" s="471"/>
      <c r="DH59" s="471"/>
      <c r="DI59" s="471"/>
      <c r="DJ59" s="473" t="s">
        <v>66</v>
      </c>
      <c r="DK59" s="473"/>
      <c r="DL59" s="473"/>
      <c r="DM59" s="473"/>
      <c r="DN59" s="4" t="s">
        <v>67</v>
      </c>
      <c r="DO59" s="4"/>
      <c r="DP59" s="465"/>
      <c r="DQ59" s="456"/>
      <c r="DR59" s="456"/>
      <c r="DS59" s="465"/>
      <c r="DT59" s="465"/>
      <c r="DU59" s="465"/>
      <c r="DV59" s="465"/>
      <c r="DW59" s="2"/>
      <c r="DX59" s="465"/>
      <c r="DY59" s="465"/>
      <c r="DZ59" s="465"/>
      <c r="EA59" s="465"/>
      <c r="EB59" s="465"/>
      <c r="EC59" s="465"/>
      <c r="ED59" s="465"/>
      <c r="EE59" s="551"/>
      <c r="EF59" s="465"/>
      <c r="EG59" s="465"/>
      <c r="EH59" s="465"/>
      <c r="EI59" s="465"/>
      <c r="EJ59" s="465"/>
      <c r="EK59" s="456"/>
      <c r="EL59" s="457"/>
      <c r="EM59" s="457"/>
      <c r="EN59" s="456"/>
      <c r="EO59" s="456"/>
      <c r="EP59" s="465"/>
      <c r="EQ59" s="456"/>
      <c r="ER59" s="456"/>
      <c r="ES59" s="456"/>
      <c r="ET59" s="456"/>
      <c r="EU59" s="456"/>
      <c r="EV59" s="456"/>
      <c r="EW59" s="456"/>
      <c r="EX59" s="456"/>
      <c r="EY59" s="456"/>
      <c r="EZ59" s="456"/>
      <c r="FA59" s="456"/>
      <c r="FB59" s="456"/>
      <c r="FC59" s="456"/>
      <c r="FD59" s="456"/>
      <c r="FE59" s="456"/>
      <c r="FF59" s="456"/>
      <c r="FG59" s="456"/>
      <c r="FH59" s="456"/>
      <c r="FI59" s="456"/>
      <c r="FJ59" s="456"/>
      <c r="FK59" s="456"/>
      <c r="FL59" s="456"/>
      <c r="FM59" s="456"/>
      <c r="FN59" s="456"/>
      <c r="FO59" s="456"/>
      <c r="FP59" s="456"/>
      <c r="FQ59" s="456"/>
      <c r="FR59" s="456"/>
      <c r="FS59" s="456"/>
      <c r="FT59" s="456"/>
      <c r="FU59" s="456"/>
      <c r="FV59" s="456"/>
      <c r="FW59" s="456"/>
      <c r="FX59" s="456"/>
      <c r="FY59" s="456"/>
      <c r="FZ59" s="456"/>
      <c r="GA59" s="456"/>
      <c r="GB59" s="456"/>
      <c r="GC59" s="456"/>
      <c r="GD59" s="456"/>
      <c r="GE59" s="456"/>
      <c r="GF59" s="456"/>
      <c r="GG59" s="456"/>
      <c r="GH59" s="456"/>
      <c r="GI59" s="456"/>
      <c r="GJ59" s="457"/>
      <c r="GK59" s="457"/>
      <c r="GL59" s="459"/>
      <c r="GM59" s="456"/>
      <c r="GN59" s="456"/>
      <c r="GO59" s="527"/>
      <c r="GP59" s="456"/>
      <c r="GQ59" s="456"/>
      <c r="GR59" s="456"/>
      <c r="GS59" s="456"/>
      <c r="GT59" s="456"/>
      <c r="GU59" s="456"/>
      <c r="GV59" s="456"/>
      <c r="GW59" s="456"/>
      <c r="GX59" s="456"/>
      <c r="GY59" s="456"/>
      <c r="GZ59" s="456"/>
      <c r="HA59" s="456"/>
      <c r="HB59" s="456"/>
      <c r="HC59" s="456"/>
      <c r="HD59" s="456"/>
      <c r="HE59" s="456"/>
      <c r="HF59" s="456"/>
      <c r="HG59" s="456"/>
      <c r="HH59" s="456"/>
      <c r="HI59" s="456"/>
      <c r="HJ59" s="456"/>
      <c r="HK59" s="456"/>
      <c r="HL59" s="456"/>
      <c r="HM59" s="456"/>
      <c r="HN59" s="456"/>
      <c r="HO59" s="456"/>
      <c r="HP59" s="456"/>
      <c r="HQ59" s="456"/>
      <c r="HR59" s="456"/>
      <c r="HS59" s="456"/>
      <c r="HT59" s="456"/>
      <c r="HU59" s="456"/>
      <c r="HV59" s="456"/>
      <c r="HW59" s="456"/>
      <c r="HX59" s="456"/>
      <c r="HY59" s="456"/>
      <c r="HZ59" s="456"/>
      <c r="IA59" s="456"/>
      <c r="IB59" s="456"/>
      <c r="IC59" s="456"/>
      <c r="ID59" s="456"/>
      <c r="IE59" s="456"/>
      <c r="IF59" s="456"/>
      <c r="IG59" s="456"/>
      <c r="IH59" s="456"/>
      <c r="II59" s="456"/>
      <c r="IJ59" s="456"/>
      <c r="IK59" s="456"/>
      <c r="IL59" s="456"/>
      <c r="IM59" s="456"/>
      <c r="IN59" s="457"/>
      <c r="IO59" s="457"/>
      <c r="IP59" s="456"/>
      <c r="IQ59" s="456"/>
      <c r="IR59" s="456"/>
      <c r="IS59" s="456"/>
      <c r="IT59" s="456"/>
      <c r="IU59" s="456"/>
      <c r="IV59" s="456"/>
      <c r="IW59" s="456"/>
      <c r="IX59" s="456"/>
      <c r="IY59" s="456"/>
      <c r="IZ59" s="456"/>
      <c r="JA59" s="456"/>
      <c r="JB59" s="456"/>
      <c r="JC59" s="456"/>
      <c r="JD59" s="456"/>
      <c r="JE59" s="456"/>
      <c r="JF59" s="456"/>
      <c r="JG59" s="456"/>
      <c r="JH59" s="456"/>
      <c r="JI59" s="456"/>
      <c r="JJ59" s="456"/>
      <c r="JK59" s="456"/>
      <c r="JL59" s="456"/>
      <c r="JM59" s="456"/>
      <c r="JN59" s="456"/>
      <c r="JO59" s="456"/>
      <c r="JP59" s="456"/>
      <c r="JQ59" s="456"/>
      <c r="JR59" s="456"/>
      <c r="JS59" s="456"/>
      <c r="JT59" s="456"/>
      <c r="JU59" s="456"/>
      <c r="JV59" s="456"/>
      <c r="JW59" s="456"/>
      <c r="JX59" s="456"/>
      <c r="JY59" s="456"/>
      <c r="JZ59" s="456"/>
      <c r="KA59" s="456"/>
      <c r="KB59" s="456"/>
      <c r="KC59" s="456"/>
      <c r="KD59" s="456"/>
      <c r="KE59" s="456"/>
      <c r="KF59" s="456"/>
    </row>
    <row r="60" spans="1:292" ht="70" customHeight="1">
      <c r="A60" s="170" t="s">
        <v>209</v>
      </c>
      <c r="B60" s="334"/>
      <c r="C60" s="334"/>
      <c r="D60" s="334"/>
      <c r="E60" s="334"/>
      <c r="F60" s="335">
        <v>45989</v>
      </c>
      <c r="G60" s="350" t="s">
        <v>210</v>
      </c>
      <c r="H60" s="313" t="s">
        <v>756</v>
      </c>
      <c r="I60" s="41" t="s">
        <v>680</v>
      </c>
      <c r="J60" s="576" t="s">
        <v>211</v>
      </c>
      <c r="K60" s="237"/>
      <c r="L60" s="321" t="s">
        <v>73</v>
      </c>
      <c r="M60" s="497"/>
      <c r="N60" s="141"/>
      <c r="O60" s="61"/>
      <c r="P60" s="526">
        <v>46137</v>
      </c>
      <c r="Q60" s="571">
        <v>46172</v>
      </c>
      <c r="R60" s="572">
        <f t="shared" ref="R60:R72" si="17">R59+28</f>
        <v>46249</v>
      </c>
      <c r="S60" s="32"/>
      <c r="T60" s="453">
        <f t="shared" si="16"/>
        <v>46291</v>
      </c>
      <c r="U60" s="259"/>
      <c r="V60" s="262" t="s">
        <v>772</v>
      </c>
      <c r="W60" s="75" t="s">
        <v>730</v>
      </c>
      <c r="X60" s="551"/>
      <c r="Y60" s="465"/>
      <c r="Z60" s="465"/>
      <c r="AA60" s="465"/>
      <c r="AB60" s="465"/>
      <c r="AC60" s="465"/>
      <c r="AD60" s="465"/>
      <c r="AE60" s="465"/>
      <c r="AF60" s="456"/>
      <c r="AG60" s="456"/>
      <c r="AH60" s="340"/>
      <c r="AI60" s="465"/>
      <c r="AJ60" s="457"/>
      <c r="AK60" s="457"/>
      <c r="AL60" s="456"/>
      <c r="AM60" s="465"/>
      <c r="AN60" s="465"/>
      <c r="AO60" s="465"/>
      <c r="AP60" s="456"/>
      <c r="AQ60" s="465"/>
      <c r="AR60" s="465"/>
      <c r="AS60" s="465"/>
      <c r="AT60" s="465"/>
      <c r="AU60" s="465"/>
      <c r="AV60" s="465"/>
      <c r="AW60" s="465"/>
      <c r="AX60" s="465"/>
      <c r="AY60" s="465"/>
      <c r="AZ60" s="465"/>
      <c r="BA60" s="465"/>
      <c r="BB60" s="465"/>
      <c r="BC60" s="2"/>
      <c r="BD60" s="2"/>
      <c r="BE60" s="456"/>
      <c r="BF60" s="456"/>
      <c r="BG60" s="456"/>
      <c r="BH60" s="456"/>
      <c r="BI60" s="456"/>
      <c r="BJ60" s="456"/>
      <c r="BK60" s="465"/>
      <c r="BL60" s="456"/>
      <c r="BM60" s="456"/>
      <c r="BN60" s="456"/>
      <c r="BO60" s="465"/>
      <c r="BP60" s="465"/>
      <c r="BQ60" s="465"/>
      <c r="BR60" s="465"/>
      <c r="BS60" s="465"/>
      <c r="BT60" s="465"/>
      <c r="BU60" s="465"/>
      <c r="BV60" s="465"/>
      <c r="BW60" s="465"/>
      <c r="BX60" s="465"/>
      <c r="BY60" s="465"/>
      <c r="BZ60" s="465"/>
      <c r="CA60" s="465"/>
      <c r="CB60" s="465"/>
      <c r="CC60" s="465"/>
      <c r="CD60" s="465"/>
      <c r="CE60" s="465"/>
      <c r="CF60" s="465"/>
      <c r="CG60" s="465"/>
      <c r="CH60" s="465"/>
      <c r="CI60" s="465"/>
      <c r="CJ60" s="465"/>
      <c r="CK60" s="456"/>
      <c r="CL60" s="456"/>
      <c r="CM60" s="457"/>
      <c r="CN60" s="457"/>
      <c r="CO60" s="456"/>
      <c r="CP60" s="456"/>
      <c r="CQ60" s="456"/>
      <c r="CR60" s="465"/>
      <c r="CS60" s="465"/>
      <c r="CT60" s="465"/>
      <c r="CU60" s="465"/>
      <c r="CV60" s="465"/>
      <c r="CW60" s="505" t="s">
        <v>91</v>
      </c>
      <c r="CX60" s="457"/>
      <c r="CY60" s="505"/>
      <c r="CZ60" s="505"/>
      <c r="DA60" s="505"/>
      <c r="DB60" s="506" t="s">
        <v>87</v>
      </c>
      <c r="DC60" s="506"/>
      <c r="DD60" s="506"/>
      <c r="DE60" s="506"/>
      <c r="DF60" s="507" t="s">
        <v>81</v>
      </c>
      <c r="DG60" s="507"/>
      <c r="DH60" s="507"/>
      <c r="DI60" s="507"/>
      <c r="DJ60" s="471" t="s">
        <v>77</v>
      </c>
      <c r="DK60" s="471"/>
      <c r="DL60" s="471"/>
      <c r="DM60" s="471"/>
      <c r="DN60" s="473" t="s">
        <v>66</v>
      </c>
      <c r="DO60" s="473"/>
      <c r="DP60" s="473"/>
      <c r="DQ60" s="473"/>
      <c r="DR60" s="4" t="s">
        <v>67</v>
      </c>
      <c r="DS60" s="4"/>
      <c r="DT60" s="516" t="s">
        <v>130</v>
      </c>
      <c r="DU60" s="465"/>
      <c r="DV60" s="456"/>
      <c r="DW60" s="456"/>
      <c r="DX60" s="456"/>
      <c r="DY60" s="456"/>
      <c r="DZ60" s="2"/>
      <c r="EA60" s="465"/>
      <c r="EB60" s="465"/>
      <c r="EC60" s="465"/>
      <c r="ED60" s="465"/>
      <c r="EE60" s="551"/>
      <c r="EF60" s="465"/>
      <c r="EG60" s="465"/>
      <c r="EH60" s="465"/>
      <c r="EI60" s="465"/>
      <c r="EJ60" s="465"/>
      <c r="EK60" s="456"/>
      <c r="EL60" s="457"/>
      <c r="EM60" s="457"/>
      <c r="EN60" s="456"/>
      <c r="EO60" s="456"/>
      <c r="EP60" s="465"/>
      <c r="EQ60" s="456"/>
      <c r="ER60" s="456"/>
      <c r="ES60" s="456"/>
      <c r="ET60" s="456"/>
      <c r="EU60" s="456"/>
      <c r="EV60" s="456"/>
      <c r="EW60" s="456"/>
      <c r="EX60" s="456"/>
      <c r="EY60" s="456"/>
      <c r="EZ60" s="456"/>
      <c r="FA60" s="456"/>
      <c r="FB60" s="456"/>
      <c r="FC60" s="456"/>
      <c r="FD60" s="456"/>
      <c r="FE60" s="456"/>
      <c r="FF60" s="456"/>
      <c r="FG60" s="456"/>
      <c r="FH60" s="456"/>
      <c r="FI60" s="456"/>
      <c r="FJ60" s="456"/>
      <c r="FK60" s="456"/>
      <c r="FL60" s="456"/>
      <c r="FM60" s="456"/>
      <c r="FN60" s="456"/>
      <c r="FO60" s="456"/>
      <c r="FP60" s="456"/>
      <c r="FQ60" s="456"/>
      <c r="FR60" s="456"/>
      <c r="FS60" s="456"/>
      <c r="FT60" s="456"/>
      <c r="FU60" s="456"/>
      <c r="FV60" s="456"/>
      <c r="FW60" s="456"/>
      <c r="FX60" s="456"/>
      <c r="FY60" s="456"/>
      <c r="FZ60" s="456"/>
      <c r="GA60" s="456"/>
      <c r="GB60" s="456"/>
      <c r="GC60" s="456"/>
      <c r="GD60" s="456"/>
      <c r="GE60" s="456"/>
      <c r="GF60" s="456"/>
      <c r="GG60" s="456"/>
      <c r="GH60" s="456"/>
      <c r="GI60" s="456"/>
      <c r="GJ60" s="457"/>
      <c r="GK60" s="457"/>
      <c r="GL60" s="459"/>
      <c r="GM60" s="456"/>
      <c r="GN60" s="456"/>
      <c r="GO60" s="527"/>
      <c r="GP60" s="456"/>
      <c r="GQ60" s="456"/>
      <c r="GR60" s="456"/>
      <c r="GS60" s="456"/>
      <c r="GT60" s="456"/>
      <c r="GU60" s="456"/>
      <c r="GV60" s="456"/>
      <c r="GW60" s="456"/>
      <c r="GX60" s="456"/>
      <c r="GY60" s="456"/>
      <c r="GZ60" s="456"/>
      <c r="HA60" s="456"/>
      <c r="HB60" s="456"/>
      <c r="HC60" s="456"/>
      <c r="HD60" s="456"/>
      <c r="HE60" s="456"/>
      <c r="HF60" s="456"/>
      <c r="HG60" s="456"/>
      <c r="HH60" s="456"/>
      <c r="HI60" s="456"/>
      <c r="HJ60" s="456"/>
      <c r="HK60" s="456"/>
      <c r="HL60" s="456"/>
      <c r="HM60" s="456"/>
      <c r="HN60" s="456"/>
      <c r="HO60" s="456"/>
      <c r="HP60" s="456"/>
      <c r="HQ60" s="456"/>
      <c r="HR60" s="456"/>
      <c r="HS60" s="456"/>
      <c r="HT60" s="456"/>
      <c r="HU60" s="456"/>
      <c r="HV60" s="456"/>
      <c r="HW60" s="456"/>
      <c r="HX60" s="456"/>
      <c r="HY60" s="456"/>
      <c r="HZ60" s="456"/>
      <c r="IA60" s="456"/>
      <c r="IB60" s="456"/>
      <c r="IC60" s="456"/>
      <c r="ID60" s="456"/>
      <c r="IE60" s="456"/>
      <c r="IF60" s="456"/>
      <c r="IG60" s="456"/>
      <c r="IH60" s="456"/>
      <c r="II60" s="456"/>
      <c r="IJ60" s="456"/>
      <c r="IK60" s="456"/>
      <c r="IL60" s="456"/>
      <c r="IM60" s="456"/>
      <c r="IN60" s="457"/>
      <c r="IO60" s="457"/>
      <c r="IP60" s="456"/>
      <c r="IQ60" s="456"/>
      <c r="IR60" s="456"/>
      <c r="IS60" s="456"/>
      <c r="IT60" s="456"/>
      <c r="IU60" s="456"/>
      <c r="IV60" s="456"/>
      <c r="IW60" s="456"/>
      <c r="IX60" s="456"/>
      <c r="IY60" s="456"/>
      <c r="IZ60" s="456"/>
      <c r="JA60" s="456"/>
      <c r="JB60" s="456"/>
      <c r="JC60" s="456"/>
      <c r="JD60" s="456"/>
      <c r="JE60" s="456"/>
      <c r="JF60" s="456"/>
      <c r="JG60" s="456"/>
      <c r="JH60" s="456"/>
      <c r="JI60" s="456"/>
      <c r="JJ60" s="456"/>
      <c r="JK60" s="456"/>
      <c r="JL60" s="456"/>
      <c r="JM60" s="456"/>
      <c r="JN60" s="456"/>
      <c r="JO60" s="456"/>
      <c r="JP60" s="456"/>
      <c r="JQ60" s="456"/>
      <c r="JR60" s="456"/>
      <c r="JS60" s="456"/>
      <c r="JT60" s="456"/>
      <c r="JU60" s="456"/>
      <c r="JV60" s="456"/>
      <c r="JW60" s="456"/>
      <c r="JX60" s="456"/>
      <c r="JY60" s="456"/>
      <c r="JZ60" s="456"/>
      <c r="KA60" s="456"/>
      <c r="KB60" s="456"/>
      <c r="KC60" s="456"/>
      <c r="KD60" s="456"/>
      <c r="KE60" s="456"/>
      <c r="KF60" s="456"/>
    </row>
    <row r="61" spans="1:292" ht="70" customHeight="1">
      <c r="A61" s="170" t="s">
        <v>212</v>
      </c>
      <c r="B61" s="334"/>
      <c r="C61" s="334"/>
      <c r="D61" s="334"/>
      <c r="E61" s="334"/>
      <c r="F61" s="335">
        <v>46122</v>
      </c>
      <c r="G61" s="350" t="s">
        <v>213</v>
      </c>
      <c r="H61" s="313"/>
      <c r="I61" s="104" t="s">
        <v>54</v>
      </c>
      <c r="J61" s="156" t="s">
        <v>115</v>
      </c>
      <c r="K61" s="237"/>
      <c r="L61" s="41" t="s">
        <v>55</v>
      </c>
      <c r="M61" s="497"/>
      <c r="N61" s="141"/>
      <c r="O61" s="61"/>
      <c r="P61" s="526">
        <v>46172</v>
      </c>
      <c r="Q61" s="571">
        <f>Q60+28</f>
        <v>46200</v>
      </c>
      <c r="R61" s="572">
        <f t="shared" si="17"/>
        <v>46277</v>
      </c>
      <c r="S61" s="32"/>
      <c r="T61" s="453">
        <f t="shared" si="16"/>
        <v>46319</v>
      </c>
      <c r="U61" s="259"/>
      <c r="V61" s="674" t="s">
        <v>506</v>
      </c>
      <c r="W61" s="75" t="s">
        <v>730</v>
      </c>
      <c r="X61" s="551"/>
      <c r="Y61" s="465"/>
      <c r="Z61" s="465"/>
      <c r="AA61" s="465"/>
      <c r="AB61" s="465"/>
      <c r="AC61" s="465"/>
      <c r="AD61" s="465"/>
      <c r="AE61" s="465"/>
      <c r="AF61" s="456"/>
      <c r="AG61" s="456"/>
      <c r="AH61" s="340"/>
      <c r="AI61" s="465"/>
      <c r="AJ61" s="457"/>
      <c r="AK61" s="457"/>
      <c r="AL61" s="456"/>
      <c r="AM61" s="465"/>
      <c r="AN61" s="465"/>
      <c r="AO61" s="465"/>
      <c r="AP61" s="456"/>
      <c r="AQ61" s="465"/>
      <c r="AR61" s="465"/>
      <c r="AS61" s="465"/>
      <c r="AT61" s="465"/>
      <c r="AU61" s="465"/>
      <c r="AV61" s="465"/>
      <c r="AW61" s="465"/>
      <c r="AX61" s="465"/>
      <c r="AY61" s="465"/>
      <c r="AZ61" s="465"/>
      <c r="BA61" s="465"/>
      <c r="BB61" s="465"/>
      <c r="BC61" s="2"/>
      <c r="BD61" s="2"/>
      <c r="BE61" s="459"/>
      <c r="BF61" s="456"/>
      <c r="BG61" s="456"/>
      <c r="BH61" s="456"/>
      <c r="BI61" s="456"/>
      <c r="BJ61" s="456"/>
      <c r="BK61" s="465"/>
      <c r="BL61" s="456"/>
      <c r="BM61" s="456"/>
      <c r="BN61" s="456"/>
      <c r="BO61" s="465"/>
      <c r="BP61" s="465"/>
      <c r="BQ61" s="465"/>
      <c r="BR61" s="465"/>
      <c r="BS61" s="465"/>
      <c r="BT61" s="465"/>
      <c r="BU61" s="465"/>
      <c r="BV61" s="465"/>
      <c r="BW61" s="465"/>
      <c r="BX61" s="465"/>
      <c r="BY61" s="465"/>
      <c r="BZ61" s="465"/>
      <c r="CA61" s="465"/>
      <c r="CB61" s="465"/>
      <c r="CC61" s="465"/>
      <c r="CD61" s="465"/>
      <c r="CE61" s="465"/>
      <c r="CF61" s="465"/>
      <c r="CG61" s="465"/>
      <c r="CH61" s="465"/>
      <c r="CI61" s="465"/>
      <c r="CJ61" s="465"/>
      <c r="CK61" s="456"/>
      <c r="CL61" s="456"/>
      <c r="CM61" s="457"/>
      <c r="CN61" s="457"/>
      <c r="CO61" s="456"/>
      <c r="CP61" s="2"/>
      <c r="CQ61" s="465"/>
      <c r="CR61" s="465"/>
      <c r="CS61" s="465"/>
      <c r="CT61" s="465"/>
      <c r="CU61" s="465"/>
      <c r="CV61" s="465"/>
      <c r="CW61" s="465"/>
      <c r="CX61" s="457"/>
      <c r="CY61" s="465"/>
      <c r="CZ61" s="465"/>
      <c r="DA61" s="456"/>
      <c r="DB61" s="505" t="s">
        <v>91</v>
      </c>
      <c r="DC61" s="352" t="s">
        <v>208</v>
      </c>
      <c r="DD61" s="505"/>
      <c r="DE61" s="505"/>
      <c r="DF61" s="506" t="s">
        <v>87</v>
      </c>
      <c r="DG61" s="506"/>
      <c r="DH61" s="506"/>
      <c r="DI61" s="506"/>
      <c r="DJ61" s="507" t="s">
        <v>81</v>
      </c>
      <c r="DK61" s="507"/>
      <c r="DL61" s="507"/>
      <c r="DM61" s="507"/>
      <c r="DN61" s="471" t="s">
        <v>77</v>
      </c>
      <c r="DO61" s="471"/>
      <c r="DP61" s="471"/>
      <c r="DQ61" s="471"/>
      <c r="DR61" s="473" t="s">
        <v>66</v>
      </c>
      <c r="DS61" s="473"/>
      <c r="DT61" s="473"/>
      <c r="DU61" s="473"/>
      <c r="DV61" s="4" t="s">
        <v>67</v>
      </c>
      <c r="DW61" s="4"/>
      <c r="DX61" s="465"/>
      <c r="DY61" s="456"/>
      <c r="DZ61" s="465"/>
      <c r="EA61" s="465"/>
      <c r="EB61" s="465"/>
      <c r="EC61" s="465"/>
      <c r="ED61" s="465"/>
      <c r="EE61" s="551"/>
      <c r="EF61" s="2"/>
      <c r="EG61" s="2"/>
      <c r="EH61" s="456"/>
      <c r="EI61" s="456"/>
      <c r="EJ61" s="456"/>
      <c r="EK61" s="456"/>
      <c r="EL61" s="457"/>
      <c r="EM61" s="457"/>
      <c r="EN61" s="456"/>
      <c r="EO61" s="456"/>
      <c r="EP61" s="456"/>
      <c r="EQ61" s="456"/>
      <c r="ER61" s="456"/>
      <c r="ES61" s="456"/>
      <c r="ET61" s="456"/>
      <c r="EU61" s="456"/>
      <c r="EV61" s="456"/>
      <c r="EW61" s="456"/>
      <c r="EX61" s="456"/>
      <c r="EY61" s="456"/>
      <c r="EZ61" s="456"/>
      <c r="FA61" s="456"/>
      <c r="FB61" s="456"/>
      <c r="FC61" s="456"/>
      <c r="FD61" s="456"/>
      <c r="FE61" s="456"/>
      <c r="FF61" s="456"/>
      <c r="FG61" s="456"/>
      <c r="FH61" s="456"/>
      <c r="FI61" s="456"/>
      <c r="FJ61" s="456"/>
      <c r="FK61" s="456"/>
      <c r="FL61" s="456"/>
      <c r="FM61" s="456"/>
      <c r="FN61" s="456"/>
      <c r="FO61" s="456"/>
      <c r="FP61" s="456"/>
      <c r="FQ61" s="456"/>
      <c r="FR61" s="456"/>
      <c r="FS61" s="456"/>
      <c r="FT61" s="456"/>
      <c r="FU61" s="456"/>
      <c r="FV61" s="456"/>
      <c r="FW61" s="456"/>
      <c r="FX61" s="456"/>
      <c r="FY61" s="456"/>
      <c r="FZ61" s="456"/>
      <c r="GA61" s="456"/>
      <c r="GB61" s="456"/>
      <c r="GC61" s="456"/>
      <c r="GD61" s="456"/>
      <c r="GE61" s="456"/>
      <c r="GF61" s="456"/>
      <c r="GG61" s="456"/>
      <c r="GH61" s="456"/>
      <c r="GI61" s="456"/>
      <c r="GJ61" s="457"/>
      <c r="GK61" s="457"/>
      <c r="GL61" s="459"/>
      <c r="GM61" s="456"/>
      <c r="GN61" s="456"/>
      <c r="GO61" s="527"/>
      <c r="GP61" s="456"/>
      <c r="GQ61" s="456"/>
      <c r="GR61" s="456"/>
      <c r="GS61" s="456"/>
      <c r="GT61" s="456"/>
      <c r="GU61" s="456"/>
      <c r="GV61" s="456"/>
      <c r="GW61" s="456"/>
      <c r="GX61" s="456"/>
      <c r="GY61" s="456"/>
      <c r="GZ61" s="456"/>
      <c r="HA61" s="456"/>
      <c r="HB61" s="456"/>
      <c r="HC61" s="456"/>
      <c r="HD61" s="456"/>
      <c r="HE61" s="456"/>
      <c r="HF61" s="456"/>
      <c r="HG61" s="456"/>
      <c r="HH61" s="456"/>
      <c r="HI61" s="456"/>
      <c r="HJ61" s="456"/>
      <c r="HK61" s="456"/>
      <c r="HL61" s="456"/>
      <c r="HM61" s="456"/>
      <c r="HN61" s="456"/>
      <c r="HO61" s="456"/>
      <c r="HP61" s="456"/>
      <c r="HQ61" s="456"/>
      <c r="HR61" s="456"/>
      <c r="HS61" s="456"/>
      <c r="HT61" s="456"/>
      <c r="HU61" s="456"/>
      <c r="HV61" s="456"/>
      <c r="HW61" s="456"/>
      <c r="HX61" s="456"/>
      <c r="HY61" s="456"/>
      <c r="HZ61" s="456"/>
      <c r="IA61" s="456"/>
      <c r="IB61" s="456"/>
      <c r="IC61" s="456"/>
      <c r="ID61" s="456"/>
      <c r="IE61" s="456"/>
      <c r="IF61" s="456"/>
      <c r="IG61" s="456"/>
      <c r="IH61" s="456"/>
      <c r="II61" s="456"/>
      <c r="IJ61" s="456"/>
      <c r="IK61" s="456"/>
      <c r="IL61" s="456"/>
      <c r="IM61" s="456"/>
      <c r="IN61" s="457"/>
      <c r="IO61" s="457"/>
      <c r="IP61" s="456"/>
      <c r="IQ61" s="456"/>
      <c r="IR61" s="456"/>
      <c r="IS61" s="456"/>
      <c r="IT61" s="456"/>
      <c r="IU61" s="456"/>
      <c r="IV61" s="456"/>
      <c r="IW61" s="456"/>
      <c r="IX61" s="456"/>
      <c r="IY61" s="456"/>
      <c r="IZ61" s="456"/>
      <c r="JA61" s="456"/>
      <c r="JB61" s="456"/>
      <c r="JC61" s="456"/>
      <c r="JD61" s="456"/>
      <c r="JE61" s="456"/>
      <c r="JF61" s="456"/>
      <c r="JG61" s="456"/>
      <c r="JH61" s="456"/>
      <c r="JI61" s="456"/>
      <c r="JJ61" s="456"/>
      <c r="JK61" s="456"/>
      <c r="JL61" s="456"/>
      <c r="JM61" s="456"/>
      <c r="JN61" s="456"/>
      <c r="JO61" s="456"/>
      <c r="JP61" s="456"/>
      <c r="JQ61" s="456"/>
      <c r="JR61" s="456"/>
      <c r="JS61" s="456"/>
      <c r="JT61" s="456"/>
      <c r="JU61" s="456"/>
      <c r="JV61" s="456"/>
      <c r="JW61" s="456"/>
      <c r="JX61" s="456"/>
      <c r="JY61" s="456"/>
      <c r="JZ61" s="456"/>
      <c r="KA61" s="456"/>
      <c r="KB61" s="456"/>
      <c r="KC61" s="456"/>
      <c r="KD61" s="456"/>
      <c r="KE61" s="456"/>
      <c r="KF61" s="456"/>
    </row>
    <row r="62" spans="1:292" ht="70" customHeight="1">
      <c r="A62" s="170" t="s">
        <v>214</v>
      </c>
      <c r="B62" s="334"/>
      <c r="C62" s="334"/>
      <c r="D62" s="334"/>
      <c r="E62" s="334"/>
      <c r="F62" s="335">
        <v>46125</v>
      </c>
      <c r="G62" s="350" t="s">
        <v>215</v>
      </c>
      <c r="H62" s="313"/>
      <c r="I62" s="104" t="s">
        <v>54</v>
      </c>
      <c r="J62" s="156" t="s">
        <v>115</v>
      </c>
      <c r="K62" s="237"/>
      <c r="L62" s="41" t="s">
        <v>55</v>
      </c>
      <c r="M62" s="497"/>
      <c r="N62" s="141"/>
      <c r="O62" s="61"/>
      <c r="P62" s="526">
        <f>P61+28</f>
        <v>46200</v>
      </c>
      <c r="Q62" s="571">
        <f t="shared" ref="Q62:Q68" si="18">Q61+28</f>
        <v>46228</v>
      </c>
      <c r="R62" s="572">
        <f t="shared" si="17"/>
        <v>46305</v>
      </c>
      <c r="S62" s="32"/>
      <c r="T62" s="453">
        <f t="shared" si="16"/>
        <v>46347</v>
      </c>
      <c r="U62" s="259"/>
      <c r="V62" s="674" t="s">
        <v>773</v>
      </c>
      <c r="W62" s="75" t="s">
        <v>730</v>
      </c>
      <c r="X62" s="551"/>
      <c r="Y62" s="465"/>
      <c r="Z62" s="465"/>
      <c r="AA62" s="465"/>
      <c r="AB62" s="465"/>
      <c r="AC62" s="465"/>
      <c r="AD62" s="465"/>
      <c r="AE62" s="465"/>
      <c r="AF62" s="456"/>
      <c r="AG62" s="456"/>
      <c r="AH62" s="340"/>
      <c r="AI62" s="465"/>
      <c r="AJ62" s="457"/>
      <c r="AK62" s="457"/>
      <c r="AL62" s="456"/>
      <c r="AM62" s="465"/>
      <c r="AN62" s="465"/>
      <c r="AO62" s="465"/>
      <c r="AP62" s="456"/>
      <c r="AQ62" s="465"/>
      <c r="AR62" s="465"/>
      <c r="AS62" s="465"/>
      <c r="AT62" s="465"/>
      <c r="AU62" s="465"/>
      <c r="AV62" s="465"/>
      <c r="AW62" s="465"/>
      <c r="AX62" s="465"/>
      <c r="AY62" s="465"/>
      <c r="AZ62" s="465"/>
      <c r="BA62" s="465"/>
      <c r="BB62" s="465"/>
      <c r="BC62" s="2"/>
      <c r="BD62" s="2"/>
      <c r="BE62" s="459"/>
      <c r="BF62" s="456"/>
      <c r="BG62" s="456"/>
      <c r="BH62" s="456"/>
      <c r="BI62" s="456"/>
      <c r="BJ62" s="456"/>
      <c r="BK62" s="465"/>
      <c r="BL62" s="456"/>
      <c r="BM62" s="456"/>
      <c r="BN62" s="456"/>
      <c r="BO62" s="465"/>
      <c r="BP62" s="465"/>
      <c r="BQ62" s="465"/>
      <c r="BR62" s="465"/>
      <c r="BS62" s="465"/>
      <c r="BT62" s="465"/>
      <c r="BU62" s="465"/>
      <c r="BV62" s="465"/>
      <c r="BW62" s="465"/>
      <c r="BX62" s="465"/>
      <c r="BY62" s="465"/>
      <c r="BZ62" s="465"/>
      <c r="CA62" s="465"/>
      <c r="CB62" s="465"/>
      <c r="CC62" s="465"/>
      <c r="CD62" s="465"/>
      <c r="CE62" s="465"/>
      <c r="CF62" s="465"/>
      <c r="CG62" s="465"/>
      <c r="CH62" s="465"/>
      <c r="CI62" s="465"/>
      <c r="CJ62" s="465"/>
      <c r="CK62" s="456"/>
      <c r="CL62" s="456"/>
      <c r="CM62" s="457"/>
      <c r="CN62" s="457"/>
      <c r="CO62" s="456"/>
      <c r="CP62" s="2"/>
      <c r="CQ62" s="465"/>
      <c r="CR62" s="465"/>
      <c r="CS62" s="465"/>
      <c r="CT62" s="465"/>
      <c r="CU62" s="465"/>
      <c r="CV62" s="465"/>
      <c r="CW62" s="465"/>
      <c r="CX62" s="457"/>
      <c r="CY62" s="465"/>
      <c r="CZ62" s="465"/>
      <c r="DA62" s="456"/>
      <c r="DB62" s="465"/>
      <c r="DC62" s="465"/>
      <c r="DD62" s="465"/>
      <c r="DE62" s="465"/>
      <c r="DF62" s="505" t="s">
        <v>91</v>
      </c>
      <c r="DG62" s="505"/>
      <c r="DH62" s="505"/>
      <c r="DI62" s="505"/>
      <c r="DJ62" s="506" t="s">
        <v>87</v>
      </c>
      <c r="DK62" s="506"/>
      <c r="DL62" s="506"/>
      <c r="DM62" s="506"/>
      <c r="DN62" s="507" t="s">
        <v>81</v>
      </c>
      <c r="DO62" s="507"/>
      <c r="DP62" s="507"/>
      <c r="DQ62" s="507"/>
      <c r="DR62" s="471" t="s">
        <v>77</v>
      </c>
      <c r="DS62" s="471"/>
      <c r="DT62" s="471"/>
      <c r="DU62" s="471"/>
      <c r="DV62" s="473" t="s">
        <v>66</v>
      </c>
      <c r="DW62" s="473"/>
      <c r="DX62" s="473"/>
      <c r="DY62" s="473"/>
      <c r="DZ62" s="4" t="s">
        <v>67</v>
      </c>
      <c r="EA62" s="4"/>
      <c r="EB62" s="465"/>
      <c r="EC62" s="465"/>
      <c r="ED62" s="465"/>
      <c r="EE62" s="551"/>
      <c r="EF62" s="2"/>
      <c r="EG62" s="2"/>
      <c r="EH62" s="465"/>
      <c r="EI62" s="465"/>
      <c r="EJ62" s="465"/>
      <c r="EK62" s="465"/>
      <c r="EL62" s="457"/>
      <c r="EM62" s="457"/>
      <c r="EN62" s="456"/>
      <c r="EO62" s="456"/>
      <c r="EP62" s="465"/>
      <c r="EQ62" s="465"/>
      <c r="ER62" s="465"/>
      <c r="ES62" s="465"/>
      <c r="ET62" s="465"/>
      <c r="EU62" s="465"/>
      <c r="EV62" s="465"/>
      <c r="EW62" s="465"/>
      <c r="EX62" s="465"/>
      <c r="EY62" s="465"/>
      <c r="EZ62" s="465"/>
      <c r="FA62" s="465"/>
      <c r="FB62" s="465"/>
      <c r="FC62" s="465"/>
      <c r="FD62" s="465"/>
      <c r="FF62" s="465"/>
      <c r="FG62" s="465"/>
      <c r="FH62" s="465"/>
      <c r="FI62" s="456"/>
      <c r="FJ62" s="456"/>
      <c r="FK62" s="456"/>
      <c r="FL62" s="456"/>
      <c r="FM62" s="456"/>
      <c r="FN62" s="456"/>
      <c r="FO62" s="456"/>
      <c r="FP62" s="456"/>
      <c r="FQ62" s="456"/>
      <c r="FR62" s="456"/>
      <c r="FS62" s="456"/>
      <c r="FT62" s="456"/>
      <c r="FU62" s="456"/>
      <c r="FV62" s="456"/>
      <c r="FW62" s="456"/>
      <c r="FX62" s="456"/>
      <c r="FY62" s="456"/>
      <c r="FZ62" s="456"/>
      <c r="GA62" s="456"/>
      <c r="GB62" s="456"/>
      <c r="GC62" s="456"/>
      <c r="GD62" s="456"/>
      <c r="GE62" s="456"/>
      <c r="GF62" s="456"/>
      <c r="GG62" s="456"/>
      <c r="GH62" s="456"/>
      <c r="GI62" s="456"/>
      <c r="GJ62" s="457"/>
      <c r="GK62" s="457"/>
      <c r="GL62" s="459"/>
      <c r="GM62" s="456"/>
      <c r="GN62" s="456"/>
      <c r="GO62" s="527"/>
      <c r="GP62" s="456"/>
      <c r="GQ62" s="456"/>
      <c r="GR62" s="456"/>
      <c r="GS62" s="456"/>
      <c r="GT62" s="456"/>
      <c r="GU62" s="456"/>
      <c r="GV62" s="456"/>
      <c r="GW62" s="456"/>
      <c r="GX62" s="456"/>
      <c r="GY62" s="456"/>
      <c r="GZ62" s="456"/>
      <c r="HA62" s="456"/>
      <c r="HB62" s="456"/>
      <c r="HC62" s="456"/>
      <c r="HD62" s="456"/>
      <c r="HE62" s="456"/>
      <c r="HF62" s="456"/>
      <c r="HG62" s="456"/>
      <c r="HH62" s="456"/>
      <c r="HI62" s="456"/>
      <c r="HJ62" s="456"/>
      <c r="HK62" s="456"/>
      <c r="HL62" s="456"/>
      <c r="HM62" s="456"/>
      <c r="HN62" s="456"/>
      <c r="HO62" s="456"/>
      <c r="HP62" s="456"/>
      <c r="HQ62" s="456"/>
      <c r="HR62" s="456"/>
      <c r="HS62" s="456"/>
      <c r="HT62" s="456"/>
      <c r="HU62" s="456"/>
      <c r="HV62" s="456"/>
      <c r="HW62" s="456"/>
      <c r="HX62" s="456"/>
      <c r="HY62" s="456"/>
      <c r="HZ62" s="456"/>
      <c r="IA62" s="456"/>
      <c r="IB62" s="456"/>
      <c r="IC62" s="456"/>
      <c r="ID62" s="456"/>
      <c r="IE62" s="456"/>
      <c r="IF62" s="456"/>
      <c r="IG62" s="456"/>
      <c r="IH62" s="456"/>
      <c r="II62" s="456"/>
      <c r="IJ62" s="456"/>
      <c r="IK62" s="456"/>
      <c r="IL62" s="456"/>
      <c r="IM62" s="456"/>
      <c r="IN62" s="457"/>
      <c r="IO62" s="457"/>
      <c r="IP62" s="456"/>
      <c r="IQ62" s="456"/>
      <c r="IR62" s="456"/>
      <c r="IS62" s="456"/>
      <c r="IT62" s="456"/>
      <c r="IU62" s="456"/>
      <c r="IV62" s="456"/>
      <c r="IW62" s="456"/>
      <c r="IX62" s="456"/>
      <c r="IY62" s="456"/>
      <c r="IZ62" s="456"/>
      <c r="JA62" s="456"/>
      <c r="JB62" s="456"/>
      <c r="JC62" s="456"/>
      <c r="JD62" s="456"/>
      <c r="JE62" s="456"/>
      <c r="JF62" s="456"/>
      <c r="JG62" s="456"/>
      <c r="JH62" s="456"/>
      <c r="JI62" s="456"/>
      <c r="JJ62" s="456"/>
      <c r="JK62" s="456"/>
      <c r="JL62" s="456"/>
      <c r="JM62" s="456"/>
      <c r="JN62" s="456"/>
      <c r="JO62" s="456"/>
      <c r="JP62" s="456"/>
      <c r="JQ62" s="456"/>
      <c r="JR62" s="456"/>
      <c r="JS62" s="456"/>
      <c r="JT62" s="456"/>
      <c r="JU62" s="456"/>
      <c r="JV62" s="456"/>
      <c r="JW62" s="456"/>
      <c r="JX62" s="456"/>
      <c r="JY62" s="456"/>
      <c r="JZ62" s="456"/>
      <c r="KA62" s="456"/>
      <c r="KB62" s="456"/>
      <c r="KC62" s="456"/>
      <c r="KD62" s="456"/>
      <c r="KE62" s="456"/>
      <c r="KF62" s="456"/>
    </row>
    <row r="63" spans="1:292" ht="70" customHeight="1">
      <c r="A63" s="170" t="s">
        <v>216</v>
      </c>
      <c r="B63" s="334"/>
      <c r="C63" s="334"/>
      <c r="D63" s="334"/>
      <c r="E63" s="334"/>
      <c r="F63" s="335">
        <v>46125</v>
      </c>
      <c r="G63" s="350" t="s">
        <v>217</v>
      </c>
      <c r="H63" s="313"/>
      <c r="I63" s="104" t="s">
        <v>54</v>
      </c>
      <c r="J63" s="156" t="s">
        <v>115</v>
      </c>
      <c r="K63" s="237"/>
      <c r="L63" s="41" t="s">
        <v>55</v>
      </c>
      <c r="M63" s="497"/>
      <c r="N63" s="141"/>
      <c r="O63" s="61"/>
      <c r="P63" s="526">
        <f t="shared" ref="P63:P69" si="19">P62+28</f>
        <v>46228</v>
      </c>
      <c r="Q63" s="571">
        <f t="shared" si="18"/>
        <v>46256</v>
      </c>
      <c r="R63" s="572">
        <f t="shared" si="17"/>
        <v>46333</v>
      </c>
      <c r="S63" s="578"/>
      <c r="T63" s="453">
        <f t="shared" si="16"/>
        <v>46375</v>
      </c>
      <c r="U63" s="259"/>
      <c r="V63" s="259"/>
      <c r="W63" s="75" t="s">
        <v>730</v>
      </c>
      <c r="X63" s="551"/>
      <c r="Y63" s="465"/>
      <c r="Z63" s="465"/>
      <c r="AA63" s="465"/>
      <c r="AB63" s="465"/>
      <c r="AC63" s="465"/>
      <c r="AD63" s="465"/>
      <c r="AE63" s="465"/>
      <c r="AF63" s="456"/>
      <c r="AG63" s="456"/>
      <c r="AH63" s="340"/>
      <c r="AI63" s="465"/>
      <c r="AJ63" s="457"/>
      <c r="AK63" s="457"/>
      <c r="AL63" s="456"/>
      <c r="AM63" s="465"/>
      <c r="AN63" s="465"/>
      <c r="AO63" s="465"/>
      <c r="AP63" s="456"/>
      <c r="AQ63" s="465"/>
      <c r="AR63" s="465"/>
      <c r="AS63" s="465"/>
      <c r="AT63" s="465"/>
      <c r="AU63" s="465"/>
      <c r="AV63" s="465"/>
      <c r="AW63" s="465"/>
      <c r="AX63" s="465"/>
      <c r="AY63" s="465"/>
      <c r="AZ63" s="465"/>
      <c r="BA63" s="465"/>
      <c r="BB63" s="465"/>
      <c r="BC63" s="2"/>
      <c r="BD63" s="2"/>
      <c r="BE63" s="459"/>
      <c r="BF63" s="456"/>
      <c r="BG63" s="456"/>
      <c r="BH63" s="456"/>
      <c r="BI63" s="456"/>
      <c r="BJ63" s="456"/>
      <c r="BK63" s="465"/>
      <c r="BL63" s="456"/>
      <c r="BM63" s="456"/>
      <c r="BN63" s="456"/>
      <c r="BO63" s="465"/>
      <c r="BP63" s="465"/>
      <c r="BQ63" s="465"/>
      <c r="BR63" s="465"/>
      <c r="BS63" s="465"/>
      <c r="BT63" s="465"/>
      <c r="BU63" s="465"/>
      <c r="BV63" s="465"/>
      <c r="BW63" s="465"/>
      <c r="BX63" s="465"/>
      <c r="BY63" s="465"/>
      <c r="BZ63" s="465"/>
      <c r="CA63" s="465"/>
      <c r="CB63" s="465"/>
      <c r="CC63" s="465"/>
      <c r="CD63" s="465"/>
      <c r="CE63" s="465"/>
      <c r="CF63" s="465"/>
      <c r="CG63" s="465"/>
      <c r="CH63" s="465"/>
      <c r="CI63" s="465"/>
      <c r="CJ63" s="465"/>
      <c r="CK63" s="465"/>
      <c r="CL63" s="465"/>
      <c r="CM63" s="457"/>
      <c r="CN63" s="457"/>
      <c r="CO63" s="456"/>
      <c r="CP63" s="2"/>
      <c r="CQ63" s="465"/>
      <c r="CR63" s="465"/>
      <c r="CS63" s="465"/>
      <c r="CT63" s="456"/>
      <c r="CU63" s="465"/>
      <c r="CV63" s="465"/>
      <c r="CW63" s="465"/>
      <c r="CX63" s="457"/>
      <c r="CY63" s="465"/>
      <c r="CZ63" s="465"/>
      <c r="DA63" s="456"/>
      <c r="DB63" s="465"/>
      <c r="DC63" s="465"/>
      <c r="DD63" s="465"/>
      <c r="DE63" s="465"/>
      <c r="DF63" s="465"/>
      <c r="DG63" s="465"/>
      <c r="DH63" s="465"/>
      <c r="DI63" s="465"/>
      <c r="DJ63" s="505" t="s">
        <v>91</v>
      </c>
      <c r="DK63" s="505"/>
      <c r="DL63" s="505"/>
      <c r="DM63" s="505"/>
      <c r="DN63" s="506" t="s">
        <v>87</v>
      </c>
      <c r="DO63" s="506"/>
      <c r="DP63" s="506"/>
      <c r="DQ63" s="506"/>
      <c r="DR63" s="507" t="s">
        <v>81</v>
      </c>
      <c r="DS63" s="507"/>
      <c r="DT63" s="507"/>
      <c r="DU63" s="507"/>
      <c r="DV63" s="471" t="s">
        <v>77</v>
      </c>
      <c r="DW63" s="471"/>
      <c r="DX63" s="471"/>
      <c r="DY63" s="471"/>
      <c r="DZ63" s="473" t="s">
        <v>66</v>
      </c>
      <c r="EA63" s="473"/>
      <c r="EB63" s="473"/>
      <c r="EC63" s="473"/>
      <c r="ED63" s="4" t="s">
        <v>67</v>
      </c>
      <c r="EE63" s="4"/>
      <c r="EF63" s="465"/>
      <c r="EG63" s="456"/>
      <c r="EH63" s="456"/>
      <c r="EI63" s="465"/>
      <c r="EJ63" s="465"/>
      <c r="EK63" s="465"/>
      <c r="EL63" s="457"/>
      <c r="EM63" s="457"/>
      <c r="EN63" s="456"/>
      <c r="EO63" s="456"/>
      <c r="EP63" s="465"/>
      <c r="EQ63" s="2"/>
      <c r="ER63" s="465"/>
      <c r="ES63" s="465"/>
      <c r="ET63" s="465"/>
      <c r="EU63" s="465"/>
      <c r="EV63" s="465"/>
      <c r="EW63" s="465"/>
      <c r="EX63" s="465"/>
      <c r="EY63" s="465"/>
      <c r="EZ63" s="465"/>
      <c r="FA63" s="465"/>
      <c r="FB63" s="465"/>
      <c r="FC63" s="465"/>
      <c r="FD63" s="465"/>
      <c r="FF63" s="465"/>
      <c r="FG63" s="465"/>
      <c r="FH63" s="465"/>
      <c r="FI63" s="456"/>
      <c r="FJ63" s="456"/>
      <c r="FK63" s="456"/>
      <c r="FL63" s="456"/>
      <c r="FM63" s="456"/>
      <c r="FN63" s="456"/>
      <c r="FO63" s="456"/>
      <c r="FP63" s="456"/>
      <c r="FQ63" s="456"/>
      <c r="FR63" s="456"/>
      <c r="FS63" s="456"/>
      <c r="FT63" s="456"/>
      <c r="FU63" s="456"/>
      <c r="FV63" s="456"/>
      <c r="FW63" s="456"/>
      <c r="FX63" s="456"/>
      <c r="FY63" s="456"/>
      <c r="FZ63" s="456"/>
      <c r="GA63" s="456"/>
      <c r="GB63" s="456"/>
      <c r="GC63" s="456"/>
      <c r="GD63" s="456"/>
      <c r="GE63" s="456"/>
      <c r="GF63" s="456"/>
      <c r="GG63" s="456"/>
      <c r="GH63" s="456"/>
      <c r="GI63" s="456"/>
      <c r="GJ63" s="457"/>
      <c r="GK63" s="457"/>
      <c r="GL63" s="459"/>
      <c r="GM63" s="456"/>
      <c r="GN63" s="456"/>
      <c r="GO63" s="527"/>
      <c r="GP63" s="456"/>
      <c r="GQ63" s="456"/>
      <c r="GR63" s="456"/>
      <c r="GS63" s="456"/>
      <c r="GT63" s="456"/>
      <c r="GU63" s="456"/>
      <c r="GV63" s="456"/>
      <c r="GW63" s="456"/>
      <c r="GX63" s="456"/>
      <c r="GY63" s="456"/>
      <c r="GZ63" s="456"/>
      <c r="HA63" s="456"/>
      <c r="HB63" s="456"/>
      <c r="HC63" s="456"/>
      <c r="HD63" s="456"/>
      <c r="HE63" s="456"/>
      <c r="HF63" s="456"/>
      <c r="HG63" s="456"/>
      <c r="HH63" s="456"/>
      <c r="HI63" s="456"/>
      <c r="HJ63" s="456"/>
      <c r="HK63" s="456"/>
      <c r="HL63" s="456"/>
      <c r="HM63" s="456"/>
      <c r="HN63" s="456"/>
      <c r="HO63" s="456"/>
      <c r="HP63" s="456"/>
      <c r="HQ63" s="456"/>
      <c r="HR63" s="456"/>
      <c r="HS63" s="456"/>
      <c r="HT63" s="456"/>
      <c r="HU63" s="456"/>
      <c r="HV63" s="456"/>
      <c r="HW63" s="456"/>
      <c r="HX63" s="456"/>
      <c r="HY63" s="456"/>
      <c r="HZ63" s="456"/>
      <c r="IA63" s="456"/>
      <c r="IB63" s="456"/>
      <c r="IC63" s="456"/>
      <c r="ID63" s="456"/>
      <c r="IE63" s="456"/>
      <c r="IF63" s="456"/>
      <c r="IG63" s="456"/>
      <c r="IH63" s="456"/>
      <c r="II63" s="456"/>
      <c r="IJ63" s="456"/>
      <c r="IK63" s="456"/>
      <c r="IL63" s="456"/>
      <c r="IM63" s="456"/>
      <c r="IN63" s="457"/>
      <c r="IO63" s="457"/>
      <c r="IP63" s="456"/>
      <c r="IQ63" s="456"/>
      <c r="IR63" s="456"/>
      <c r="IS63" s="456"/>
      <c r="IT63" s="456"/>
      <c r="IU63" s="456"/>
      <c r="IV63" s="456"/>
      <c r="IW63" s="456"/>
      <c r="IX63" s="456"/>
      <c r="IY63" s="456"/>
      <c r="IZ63" s="456"/>
      <c r="JA63" s="456"/>
      <c r="JB63" s="456"/>
      <c r="JC63" s="456"/>
      <c r="JD63" s="456"/>
      <c r="JE63" s="456"/>
      <c r="JF63" s="456"/>
      <c r="JG63" s="456"/>
      <c r="JH63" s="456"/>
      <c r="JI63" s="456"/>
      <c r="JJ63" s="456"/>
      <c r="JK63" s="456"/>
      <c r="JL63" s="456"/>
      <c r="JM63" s="456"/>
      <c r="JN63" s="456"/>
      <c r="JO63" s="456"/>
      <c r="JP63" s="456"/>
      <c r="JQ63" s="456"/>
      <c r="JR63" s="456"/>
      <c r="JS63" s="456"/>
      <c r="JT63" s="456"/>
      <c r="JU63" s="456"/>
      <c r="JV63" s="456"/>
      <c r="JW63" s="456"/>
      <c r="JX63" s="456"/>
      <c r="JY63" s="456"/>
      <c r="JZ63" s="456"/>
      <c r="KA63" s="456"/>
      <c r="KB63" s="456"/>
      <c r="KC63" s="456"/>
      <c r="KD63" s="456"/>
      <c r="KE63" s="456"/>
      <c r="KF63" s="456"/>
    </row>
    <row r="64" spans="1:292" ht="70" customHeight="1">
      <c r="A64" s="170" t="s">
        <v>218</v>
      </c>
      <c r="B64" s="334"/>
      <c r="C64" s="334"/>
      <c r="D64" s="334"/>
      <c r="E64" s="334"/>
      <c r="F64" s="335">
        <v>46125</v>
      </c>
      <c r="G64" s="350" t="s">
        <v>219</v>
      </c>
      <c r="H64" s="313"/>
      <c r="I64" s="104" t="s">
        <v>54</v>
      </c>
      <c r="J64" s="156" t="s">
        <v>115</v>
      </c>
      <c r="K64" s="237"/>
      <c r="L64" s="41" t="s">
        <v>55</v>
      </c>
      <c r="M64" s="497"/>
      <c r="N64" s="141"/>
      <c r="O64" s="61"/>
      <c r="P64" s="526">
        <f t="shared" si="19"/>
        <v>46256</v>
      </c>
      <c r="Q64" s="571">
        <f t="shared" si="18"/>
        <v>46284</v>
      </c>
      <c r="R64" s="572">
        <f t="shared" si="17"/>
        <v>46361</v>
      </c>
      <c r="S64" s="577"/>
      <c r="T64" s="453">
        <f t="shared" si="16"/>
        <v>46403</v>
      </c>
      <c r="U64" s="259"/>
      <c r="V64" s="259"/>
      <c r="W64" s="75" t="s">
        <v>730</v>
      </c>
      <c r="X64" s="551"/>
      <c r="Y64" s="465"/>
      <c r="Z64" s="465"/>
      <c r="AA64" s="465"/>
      <c r="AB64" s="465"/>
      <c r="AC64" s="465"/>
      <c r="AD64" s="465"/>
      <c r="AE64" s="465"/>
      <c r="AF64" s="456"/>
      <c r="AG64" s="456"/>
      <c r="AH64" s="340"/>
      <c r="AI64" s="465"/>
      <c r="AJ64" s="457"/>
      <c r="AK64" s="457"/>
      <c r="AL64" s="456"/>
      <c r="AM64" s="465"/>
      <c r="AN64" s="465"/>
      <c r="AO64" s="465"/>
      <c r="AP64" s="456"/>
      <c r="AQ64" s="465"/>
      <c r="AR64" s="465"/>
      <c r="AS64" s="465"/>
      <c r="AT64" s="465"/>
      <c r="AU64" s="465"/>
      <c r="AV64" s="465"/>
      <c r="AW64" s="465"/>
      <c r="AX64" s="465"/>
      <c r="AY64" s="465"/>
      <c r="AZ64" s="465"/>
      <c r="BA64" s="465"/>
      <c r="BB64" s="465"/>
      <c r="BC64" s="2"/>
      <c r="BD64" s="2"/>
      <c r="BE64" s="459"/>
      <c r="BF64" s="456"/>
      <c r="BG64" s="456"/>
      <c r="BH64" s="456"/>
      <c r="BI64" s="456"/>
      <c r="BJ64" s="456"/>
      <c r="BK64" s="465"/>
      <c r="BL64" s="456"/>
      <c r="BM64" s="456"/>
      <c r="BN64" s="456"/>
      <c r="BO64" s="465"/>
      <c r="BP64" s="465"/>
      <c r="BQ64" s="465"/>
      <c r="BR64" s="465"/>
      <c r="BS64" s="465"/>
      <c r="BT64" s="465"/>
      <c r="BU64" s="465"/>
      <c r="BV64" s="465"/>
      <c r="BW64" s="465"/>
      <c r="BX64" s="465"/>
      <c r="BY64" s="465"/>
      <c r="BZ64" s="465"/>
      <c r="CA64" s="465"/>
      <c r="CB64" s="465"/>
      <c r="CC64" s="465"/>
      <c r="CD64" s="465"/>
      <c r="CE64" s="465"/>
      <c r="CF64" s="465"/>
      <c r="CG64" s="465"/>
      <c r="CH64" s="465"/>
      <c r="CI64" s="465"/>
      <c r="CJ64" s="465"/>
      <c r="CK64" s="465"/>
      <c r="CL64" s="465"/>
      <c r="CM64" s="457"/>
      <c r="CN64" s="457"/>
      <c r="CO64" s="456"/>
      <c r="CP64" s="2"/>
      <c r="CQ64" s="465"/>
      <c r="CR64" s="465"/>
      <c r="CS64" s="465"/>
      <c r="CT64" s="456"/>
      <c r="CU64" s="465"/>
      <c r="CV64" s="465"/>
      <c r="CW64" s="465"/>
      <c r="CX64" s="457"/>
      <c r="CY64" s="465"/>
      <c r="CZ64" s="465"/>
      <c r="DA64" s="456"/>
      <c r="DB64" s="465"/>
      <c r="DC64" s="465"/>
      <c r="DD64" s="465"/>
      <c r="DE64" s="465"/>
      <c r="DF64" s="465"/>
      <c r="DG64" s="465"/>
      <c r="DH64" s="465"/>
      <c r="DI64" s="465"/>
      <c r="DJ64" s="465"/>
      <c r="DK64" s="465"/>
      <c r="DL64" s="465"/>
      <c r="DM64" s="465"/>
      <c r="DN64" s="505" t="s">
        <v>91</v>
      </c>
      <c r="DO64" s="352" t="s">
        <v>208</v>
      </c>
      <c r="DP64" s="505"/>
      <c r="DQ64" s="505"/>
      <c r="DR64" s="506" t="s">
        <v>87</v>
      </c>
      <c r="DS64" s="506"/>
      <c r="DT64" s="506"/>
      <c r="DU64" s="506"/>
      <c r="DV64" s="507" t="s">
        <v>81</v>
      </c>
      <c r="DW64" s="507"/>
      <c r="DX64" s="507"/>
      <c r="DY64" s="507"/>
      <c r="DZ64" s="471" t="s">
        <v>77</v>
      </c>
      <c r="EA64" s="471"/>
      <c r="EB64" s="471"/>
      <c r="EC64" s="471"/>
      <c r="ED64" s="473" t="s">
        <v>66</v>
      </c>
      <c r="EE64" s="473"/>
      <c r="EF64" s="473"/>
      <c r="EG64" s="473"/>
      <c r="EH64" s="4" t="s">
        <v>67</v>
      </c>
      <c r="EI64" s="4"/>
      <c r="EJ64" s="465"/>
      <c r="EK64" s="465"/>
      <c r="EL64" s="457"/>
      <c r="EM64" s="457"/>
      <c r="EN64" s="456"/>
      <c r="EO64" s="456"/>
      <c r="EP64" s="465"/>
      <c r="EQ64" s="465"/>
      <c r="ER64" s="2"/>
      <c r="ES64" s="2"/>
      <c r="ET64" s="465"/>
      <c r="EU64" s="465"/>
      <c r="EV64" s="465"/>
      <c r="EW64" s="465"/>
      <c r="EX64" s="465"/>
      <c r="EY64" s="465"/>
      <c r="EZ64" s="465"/>
      <c r="FA64" s="465"/>
      <c r="FB64" s="465"/>
      <c r="FC64" s="465"/>
      <c r="FD64" s="465"/>
      <c r="FF64" s="465"/>
      <c r="FG64" s="465"/>
      <c r="FH64" s="465"/>
      <c r="FI64" s="456"/>
      <c r="FJ64" s="456"/>
      <c r="FK64" s="456"/>
      <c r="FL64" s="456"/>
      <c r="FM64" s="456"/>
      <c r="FN64" s="456"/>
      <c r="FO64" s="456"/>
      <c r="FP64" s="456"/>
      <c r="FQ64" s="456"/>
      <c r="FR64" s="456"/>
      <c r="FS64" s="456"/>
      <c r="FT64" s="456"/>
      <c r="FU64" s="456"/>
      <c r="FV64" s="456"/>
      <c r="FW64" s="456"/>
      <c r="FX64" s="456"/>
      <c r="FY64" s="456"/>
      <c r="FZ64" s="456"/>
      <c r="GA64" s="456"/>
      <c r="GB64" s="456"/>
      <c r="GC64" s="456"/>
      <c r="GD64" s="456"/>
      <c r="GE64" s="456"/>
      <c r="GF64" s="456"/>
      <c r="GG64" s="456"/>
      <c r="GH64" s="456"/>
      <c r="GI64" s="456"/>
      <c r="GJ64" s="457"/>
      <c r="GK64" s="457"/>
      <c r="GL64" s="459"/>
      <c r="GM64" s="456"/>
      <c r="GN64" s="456"/>
      <c r="GO64" s="527"/>
      <c r="GP64" s="456"/>
      <c r="GQ64" s="456"/>
      <c r="GR64" s="456"/>
      <c r="GS64" s="456"/>
      <c r="GT64" s="456"/>
      <c r="GU64" s="456"/>
      <c r="GV64" s="456"/>
      <c r="GW64" s="456"/>
      <c r="GX64" s="456"/>
      <c r="GY64" s="456"/>
      <c r="GZ64" s="456"/>
      <c r="HA64" s="456"/>
      <c r="HB64" s="456"/>
      <c r="HC64" s="456"/>
      <c r="HD64" s="456"/>
      <c r="HE64" s="456"/>
      <c r="HF64" s="456"/>
      <c r="HG64" s="456"/>
      <c r="HH64" s="456"/>
      <c r="HI64" s="456"/>
      <c r="HJ64" s="456"/>
      <c r="HK64" s="456"/>
      <c r="HL64" s="456"/>
      <c r="HM64" s="456"/>
      <c r="HN64" s="456"/>
      <c r="HO64" s="456"/>
      <c r="HP64" s="456"/>
      <c r="HQ64" s="456"/>
      <c r="HR64" s="456"/>
      <c r="HS64" s="456"/>
      <c r="HT64" s="456"/>
      <c r="HU64" s="456"/>
      <c r="HV64" s="456"/>
      <c r="HW64" s="456"/>
      <c r="HX64" s="456"/>
      <c r="HY64" s="456"/>
      <c r="HZ64" s="456"/>
      <c r="IA64" s="456"/>
      <c r="IB64" s="456"/>
      <c r="IC64" s="456"/>
      <c r="ID64" s="456"/>
      <c r="IE64" s="456"/>
      <c r="IF64" s="456"/>
      <c r="IG64" s="456"/>
      <c r="IH64" s="456"/>
      <c r="II64" s="456"/>
      <c r="IJ64" s="456"/>
      <c r="IK64" s="456"/>
      <c r="IL64" s="456"/>
      <c r="IM64" s="456"/>
      <c r="IN64" s="457"/>
      <c r="IO64" s="457"/>
      <c r="IP64" s="456"/>
      <c r="IQ64" s="456"/>
      <c r="IR64" s="456"/>
      <c r="IS64" s="456"/>
      <c r="IT64" s="456"/>
      <c r="IU64" s="456"/>
      <c r="IV64" s="456"/>
      <c r="IW64" s="456"/>
      <c r="IX64" s="456"/>
      <c r="IY64" s="456"/>
      <c r="IZ64" s="456"/>
      <c r="JA64" s="456"/>
      <c r="JB64" s="456"/>
      <c r="JC64" s="456"/>
      <c r="JD64" s="456"/>
      <c r="JE64" s="456"/>
      <c r="JF64" s="456"/>
      <c r="JG64" s="456"/>
      <c r="JH64" s="456"/>
      <c r="JI64" s="456"/>
      <c r="JJ64" s="456"/>
      <c r="JK64" s="456"/>
      <c r="JL64" s="456"/>
      <c r="JM64" s="456"/>
      <c r="JN64" s="456"/>
      <c r="JO64" s="456"/>
      <c r="JP64" s="456"/>
      <c r="JQ64" s="456"/>
      <c r="JR64" s="456"/>
      <c r="JS64" s="456"/>
      <c r="JT64" s="456"/>
      <c r="JU64" s="456"/>
      <c r="JV64" s="456"/>
      <c r="JW64" s="456"/>
      <c r="JX64" s="456"/>
      <c r="JY64" s="456"/>
      <c r="JZ64" s="456"/>
      <c r="KA64" s="456"/>
      <c r="KB64" s="456"/>
      <c r="KC64" s="456"/>
      <c r="KD64" s="456"/>
      <c r="KE64" s="456"/>
      <c r="KF64" s="456"/>
    </row>
    <row r="65" spans="1:292" ht="70" customHeight="1">
      <c r="A65" s="170" t="s">
        <v>220</v>
      </c>
      <c r="B65" s="334"/>
      <c r="C65" s="334"/>
      <c r="D65" s="334"/>
      <c r="E65" s="334"/>
      <c r="F65" s="335">
        <v>46125</v>
      </c>
      <c r="G65" s="350" t="s">
        <v>221</v>
      </c>
      <c r="H65" s="313"/>
      <c r="I65" s="104" t="s">
        <v>54</v>
      </c>
      <c r="J65" s="156" t="s">
        <v>115</v>
      </c>
      <c r="K65" s="237"/>
      <c r="L65" s="41" t="s">
        <v>55</v>
      </c>
      <c r="M65" s="497"/>
      <c r="N65" s="141"/>
      <c r="O65" s="61"/>
      <c r="P65" s="526">
        <f t="shared" si="19"/>
        <v>46284</v>
      </c>
      <c r="Q65" s="571">
        <f t="shared" si="18"/>
        <v>46312</v>
      </c>
      <c r="R65" s="572">
        <f t="shared" si="17"/>
        <v>46389</v>
      </c>
      <c r="S65" s="577"/>
      <c r="T65" s="453">
        <v>46446</v>
      </c>
      <c r="U65" s="259"/>
      <c r="V65" s="259"/>
      <c r="W65" s="75" t="s">
        <v>730</v>
      </c>
      <c r="X65" s="465"/>
      <c r="Y65" s="465"/>
      <c r="Z65" s="465"/>
      <c r="AA65" s="465"/>
      <c r="AB65" s="465"/>
      <c r="AC65" s="465"/>
      <c r="AD65" s="465"/>
      <c r="AE65" s="465"/>
      <c r="AF65" s="456"/>
      <c r="AG65" s="456"/>
      <c r="AH65" s="340"/>
      <c r="AI65" s="465"/>
      <c r="AJ65" s="457"/>
      <c r="AK65" s="457"/>
      <c r="AL65" s="456"/>
      <c r="AM65" s="465"/>
      <c r="AN65" s="465"/>
      <c r="AO65" s="465"/>
      <c r="AP65" s="456"/>
      <c r="AQ65" s="465"/>
      <c r="AR65" s="465"/>
      <c r="AS65" s="465"/>
      <c r="AT65" s="465"/>
      <c r="AU65" s="465"/>
      <c r="AV65" s="465"/>
      <c r="AW65" s="465"/>
      <c r="AX65" s="465"/>
      <c r="AY65" s="465"/>
      <c r="AZ65" s="465"/>
      <c r="BA65" s="465"/>
      <c r="BB65" s="465"/>
      <c r="BC65" s="2"/>
      <c r="BD65" s="2"/>
      <c r="BE65" s="456"/>
      <c r="BF65" s="456"/>
      <c r="BG65" s="456"/>
      <c r="BH65" s="456"/>
      <c r="BI65" s="456"/>
      <c r="BJ65" s="456"/>
      <c r="BK65" s="465"/>
      <c r="BL65" s="456"/>
      <c r="BM65" s="456"/>
      <c r="BN65" s="456"/>
      <c r="BO65" s="465"/>
      <c r="BP65" s="465"/>
      <c r="BQ65" s="465"/>
      <c r="BR65" s="465"/>
      <c r="BS65" s="465"/>
      <c r="BT65" s="465"/>
      <c r="BU65" s="465"/>
      <c r="BV65" s="465"/>
      <c r="BW65" s="465"/>
      <c r="BX65" s="465"/>
      <c r="BY65" s="465"/>
      <c r="BZ65" s="465"/>
      <c r="CA65" s="465"/>
      <c r="CB65" s="465"/>
      <c r="CC65" s="465"/>
      <c r="CD65" s="465"/>
      <c r="CE65" s="465"/>
      <c r="CF65" s="465"/>
      <c r="CG65" s="465"/>
      <c r="CH65" s="465"/>
      <c r="CI65" s="465"/>
      <c r="CJ65" s="465"/>
      <c r="CK65" s="465"/>
      <c r="CL65" s="465"/>
      <c r="CM65" s="457"/>
      <c r="CN65" s="457"/>
      <c r="CO65" s="456"/>
      <c r="CP65" s="2"/>
      <c r="CQ65" s="465"/>
      <c r="CR65" s="465"/>
      <c r="CS65" s="465"/>
      <c r="CT65" s="456"/>
      <c r="CU65" s="465"/>
      <c r="CV65" s="465"/>
      <c r="CW65" s="465"/>
      <c r="CX65" s="457"/>
      <c r="CY65" s="465"/>
      <c r="CZ65" s="465"/>
      <c r="DA65" s="456"/>
      <c r="DB65" s="465"/>
      <c r="DC65" s="465"/>
      <c r="DD65" s="465"/>
      <c r="DE65" s="465"/>
      <c r="DF65" s="465"/>
      <c r="DG65" s="465"/>
      <c r="DH65" s="465"/>
      <c r="DI65" s="465"/>
      <c r="DJ65" s="465"/>
      <c r="DK65" s="465"/>
      <c r="DL65" s="465"/>
      <c r="DM65" s="465"/>
      <c r="DN65" s="465"/>
      <c r="DO65" s="465"/>
      <c r="DP65" s="465"/>
      <c r="DQ65" s="465"/>
      <c r="DR65" s="505" t="s">
        <v>91</v>
      </c>
      <c r="DS65" s="505"/>
      <c r="DT65" s="505"/>
      <c r="DU65" s="505"/>
      <c r="DV65" s="506" t="s">
        <v>87</v>
      </c>
      <c r="DW65" s="506"/>
      <c r="DX65" s="506"/>
      <c r="DY65" s="506"/>
      <c r="DZ65" s="507" t="s">
        <v>81</v>
      </c>
      <c r="EA65" s="507"/>
      <c r="EB65" s="507"/>
      <c r="EC65" s="507"/>
      <c r="ED65" s="471" t="s">
        <v>77</v>
      </c>
      <c r="EE65" s="471"/>
      <c r="EF65" s="471"/>
      <c r="EG65" s="471"/>
      <c r="EH65" s="473" t="s">
        <v>66</v>
      </c>
      <c r="EI65" s="473"/>
      <c r="EJ65" s="473"/>
      <c r="EK65" s="473"/>
      <c r="EL65" s="457"/>
      <c r="EM65" s="457"/>
      <c r="EN65" s="4" t="s">
        <v>67</v>
      </c>
      <c r="EO65" s="4"/>
      <c r="EP65" s="456"/>
      <c r="EQ65" s="456"/>
      <c r="ER65" s="456"/>
      <c r="ES65" s="456"/>
      <c r="ET65" s="456"/>
      <c r="EU65" s="456"/>
      <c r="EV65" s="465"/>
      <c r="EW65" s="465"/>
      <c r="EX65" s="465"/>
      <c r="EY65" s="465"/>
      <c r="EZ65" s="465"/>
      <c r="FA65" s="465"/>
      <c r="FB65" s="2"/>
      <c r="FC65" s="2"/>
      <c r="FD65" s="465"/>
      <c r="FF65" s="465"/>
      <c r="FG65" s="465"/>
      <c r="FH65" s="2"/>
      <c r="FI65" s="465"/>
      <c r="FJ65" s="465"/>
      <c r="FK65" s="465"/>
      <c r="FL65" s="465"/>
      <c r="FM65" s="465"/>
      <c r="FN65" s="456"/>
      <c r="FO65" s="456"/>
      <c r="FP65" s="456"/>
      <c r="FQ65" s="456"/>
      <c r="FR65" s="456"/>
      <c r="FS65" s="456"/>
      <c r="FT65" s="456"/>
      <c r="FU65" s="456"/>
      <c r="FV65" s="456"/>
      <c r="FW65" s="456"/>
      <c r="FX65" s="456"/>
      <c r="FY65" s="456"/>
      <c r="FZ65" s="456"/>
      <c r="GA65" s="456"/>
      <c r="GB65" s="456"/>
      <c r="GC65" s="456"/>
      <c r="GD65" s="456"/>
      <c r="GE65" s="456"/>
      <c r="GF65" s="456"/>
      <c r="GG65" s="456"/>
      <c r="GH65" s="456"/>
      <c r="GI65" s="456"/>
      <c r="GJ65" s="457"/>
      <c r="GK65" s="457"/>
      <c r="GL65" s="459"/>
      <c r="GM65" s="456"/>
      <c r="GN65" s="456"/>
      <c r="GO65" s="527"/>
      <c r="GP65" s="456"/>
      <c r="GQ65" s="456"/>
      <c r="GR65" s="456"/>
      <c r="GS65" s="456"/>
      <c r="GT65" s="456"/>
      <c r="GU65" s="456"/>
      <c r="GV65" s="456"/>
      <c r="GW65" s="456"/>
      <c r="GX65" s="456"/>
      <c r="GY65" s="456"/>
      <c r="GZ65" s="456"/>
      <c r="HA65" s="456"/>
      <c r="HB65" s="456"/>
      <c r="HC65" s="456"/>
      <c r="HD65" s="456"/>
      <c r="HE65" s="456"/>
      <c r="HF65" s="456"/>
      <c r="HG65" s="456"/>
      <c r="HH65" s="456"/>
      <c r="HI65" s="456"/>
      <c r="HJ65" s="456"/>
      <c r="HK65" s="456"/>
      <c r="HL65" s="456"/>
      <c r="HM65" s="456"/>
      <c r="HN65" s="456"/>
      <c r="HO65" s="456"/>
      <c r="HP65" s="456"/>
      <c r="HQ65" s="456"/>
      <c r="HR65" s="456"/>
      <c r="HS65" s="456"/>
      <c r="HT65" s="456"/>
      <c r="HU65" s="456"/>
      <c r="HV65" s="456"/>
      <c r="HW65" s="456"/>
      <c r="HX65" s="456"/>
      <c r="HY65" s="456"/>
      <c r="HZ65" s="456"/>
      <c r="IA65" s="456"/>
      <c r="IB65" s="456"/>
      <c r="IC65" s="456"/>
      <c r="ID65" s="456"/>
      <c r="IE65" s="456"/>
      <c r="IF65" s="456"/>
      <c r="IG65" s="456"/>
      <c r="IH65" s="456"/>
      <c r="II65" s="456"/>
      <c r="IJ65" s="456"/>
      <c r="IK65" s="456"/>
      <c r="IL65" s="456"/>
      <c r="IM65" s="456"/>
      <c r="IN65" s="457"/>
      <c r="IO65" s="457"/>
      <c r="IP65" s="456"/>
      <c r="IQ65" s="456"/>
      <c r="IR65" s="456"/>
      <c r="IS65" s="456"/>
      <c r="IT65" s="456"/>
      <c r="IU65" s="456"/>
      <c r="IV65" s="456"/>
      <c r="IW65" s="456"/>
      <c r="IX65" s="456"/>
      <c r="IY65" s="456"/>
      <c r="IZ65" s="456"/>
      <c r="JA65" s="456"/>
      <c r="JB65" s="456"/>
      <c r="JC65" s="456"/>
      <c r="JD65" s="456"/>
      <c r="JE65" s="456"/>
      <c r="JF65" s="456"/>
      <c r="JG65" s="456"/>
      <c r="JH65" s="456"/>
      <c r="JI65" s="456"/>
      <c r="JJ65" s="456"/>
      <c r="JK65" s="456"/>
      <c r="JL65" s="456"/>
      <c r="JM65" s="456"/>
      <c r="JN65" s="456"/>
      <c r="JO65" s="456"/>
      <c r="JP65" s="456"/>
      <c r="JQ65" s="456"/>
      <c r="JR65" s="456"/>
      <c r="JS65" s="456"/>
      <c r="JT65" s="456"/>
      <c r="JU65" s="456"/>
      <c r="JV65" s="456"/>
      <c r="JW65" s="456"/>
      <c r="JX65" s="456"/>
      <c r="JY65" s="456"/>
      <c r="JZ65" s="456"/>
      <c r="KA65" s="456"/>
      <c r="KB65" s="456"/>
      <c r="KC65" s="456"/>
      <c r="KD65" s="456"/>
      <c r="KE65" s="456"/>
      <c r="KF65" s="456"/>
    </row>
    <row r="66" spans="1:292" ht="70" customHeight="1">
      <c r="A66" s="170" t="s">
        <v>222</v>
      </c>
      <c r="B66" s="334"/>
      <c r="C66" s="334"/>
      <c r="D66" s="334"/>
      <c r="E66" s="334"/>
      <c r="F66" s="331" t="s">
        <v>113</v>
      </c>
      <c r="G66" s="350" t="s">
        <v>223</v>
      </c>
      <c r="H66" s="313"/>
      <c r="I66" s="104" t="s">
        <v>54</v>
      </c>
      <c r="J66" s="156" t="s">
        <v>115</v>
      </c>
      <c r="K66" s="237"/>
      <c r="L66" s="41" t="s">
        <v>55</v>
      </c>
      <c r="M66" s="497"/>
      <c r="N66" s="141"/>
      <c r="O66" s="61"/>
      <c r="P66" s="526">
        <f t="shared" si="19"/>
        <v>46312</v>
      </c>
      <c r="Q66" s="571">
        <f t="shared" si="18"/>
        <v>46340</v>
      </c>
      <c r="R66" s="572">
        <f t="shared" si="17"/>
        <v>46417</v>
      </c>
      <c r="S66" s="577"/>
      <c r="T66" s="453">
        <f>T65+28</f>
        <v>46474</v>
      </c>
      <c r="U66" s="259"/>
      <c r="V66" s="259"/>
      <c r="W66" s="75" t="s">
        <v>730</v>
      </c>
      <c r="X66" s="465"/>
      <c r="Y66" s="465"/>
      <c r="Z66" s="465"/>
      <c r="AA66" s="465"/>
      <c r="AB66" s="465"/>
      <c r="AC66" s="465"/>
      <c r="AD66" s="465"/>
      <c r="AE66" s="465"/>
      <c r="AF66" s="456"/>
      <c r="AG66" s="456"/>
      <c r="AH66" s="340"/>
      <c r="AI66" s="465"/>
      <c r="AJ66" s="457"/>
      <c r="AK66" s="457"/>
      <c r="AL66" s="456"/>
      <c r="AM66" s="465"/>
      <c r="AN66" s="465"/>
      <c r="AO66" s="465"/>
      <c r="AP66" s="456"/>
      <c r="AQ66" s="465"/>
      <c r="AR66" s="465"/>
      <c r="AS66" s="465"/>
      <c r="AT66" s="465"/>
      <c r="AU66" s="465"/>
      <c r="AV66" s="465"/>
      <c r="AW66" s="465"/>
      <c r="AX66" s="465"/>
      <c r="AY66" s="465"/>
      <c r="AZ66" s="465"/>
      <c r="BA66" s="465"/>
      <c r="BB66" s="465"/>
      <c r="BC66" s="2"/>
      <c r="BD66" s="2"/>
      <c r="BE66" s="456"/>
      <c r="BF66" s="456"/>
      <c r="BG66" s="456"/>
      <c r="BH66" s="456"/>
      <c r="BI66" s="456"/>
      <c r="BJ66" s="456"/>
      <c r="BK66" s="465"/>
      <c r="BL66" s="456"/>
      <c r="BM66" s="456"/>
      <c r="BN66" s="456"/>
      <c r="BO66" s="465"/>
      <c r="BP66" s="465"/>
      <c r="BQ66" s="465"/>
      <c r="BR66" s="465"/>
      <c r="BS66" s="465"/>
      <c r="BT66" s="465"/>
      <c r="BU66" s="465"/>
      <c r="BV66" s="465"/>
      <c r="BW66" s="465"/>
      <c r="BX66" s="465"/>
      <c r="BY66" s="465"/>
      <c r="BZ66" s="465"/>
      <c r="CA66" s="465"/>
      <c r="CB66" s="465"/>
      <c r="CC66" s="465"/>
      <c r="CD66" s="465"/>
      <c r="CE66" s="465"/>
      <c r="CF66" s="465"/>
      <c r="CG66" s="465"/>
      <c r="CH66" s="465"/>
      <c r="CI66" s="465"/>
      <c r="CJ66" s="465"/>
      <c r="CK66" s="465"/>
      <c r="CL66" s="465"/>
      <c r="CM66" s="457"/>
      <c r="CN66" s="457"/>
      <c r="CO66" s="456"/>
      <c r="CP66" s="2"/>
      <c r="CQ66" s="465"/>
      <c r="CR66" s="465"/>
      <c r="CS66" s="465"/>
      <c r="CT66" s="456"/>
      <c r="CU66" s="465"/>
      <c r="CV66" s="465"/>
      <c r="CW66" s="465"/>
      <c r="CX66" s="457"/>
      <c r="CY66" s="465"/>
      <c r="CZ66" s="465"/>
      <c r="DA66" s="456"/>
      <c r="DB66" s="465"/>
      <c r="DC66" s="465"/>
      <c r="DD66" s="465"/>
      <c r="DE66" s="465"/>
      <c r="DF66" s="465"/>
      <c r="DG66" s="465"/>
      <c r="DH66" s="465"/>
      <c r="DI66" s="465" t="s">
        <v>224</v>
      </c>
      <c r="DJ66" s="465"/>
      <c r="DK66" s="465"/>
      <c r="DL66" s="465"/>
      <c r="DM66" s="465"/>
      <c r="DN66" s="465"/>
      <c r="DO66" s="465"/>
      <c r="DP66" s="465"/>
      <c r="DQ66" s="465"/>
      <c r="DR66" s="465"/>
      <c r="DS66" s="465"/>
      <c r="DT66" s="465"/>
      <c r="DU66" s="465"/>
      <c r="DV66" s="505" t="s">
        <v>91</v>
      </c>
      <c r="DW66" s="505"/>
      <c r="DX66" s="505"/>
      <c r="DY66" s="505"/>
      <c r="DZ66" s="506" t="s">
        <v>87</v>
      </c>
      <c r="EA66" s="506"/>
      <c r="EB66" s="506"/>
      <c r="EC66" s="506"/>
      <c r="ED66" s="507" t="s">
        <v>81</v>
      </c>
      <c r="EE66" s="507"/>
      <c r="EF66" s="507"/>
      <c r="EG66" s="507"/>
      <c r="EH66" s="471" t="s">
        <v>77</v>
      </c>
      <c r="EI66" s="471"/>
      <c r="EJ66" s="471"/>
      <c r="EK66" s="471"/>
      <c r="EL66" s="457"/>
      <c r="EM66" s="457"/>
      <c r="EN66" s="473" t="s">
        <v>66</v>
      </c>
      <c r="EO66" s="473"/>
      <c r="EP66" s="473"/>
      <c r="EQ66" s="473"/>
      <c r="ER66" s="4" t="s">
        <v>67</v>
      </c>
      <c r="ES66" s="4"/>
      <c r="ET66" s="465"/>
      <c r="EU66" s="465"/>
      <c r="EV66" s="465"/>
      <c r="EW66" s="465"/>
      <c r="EX66" s="465"/>
      <c r="EY66" s="465"/>
      <c r="EZ66" s="465"/>
      <c r="FA66" s="465"/>
      <c r="FB66" s="465"/>
      <c r="FC66" s="465"/>
      <c r="FD66" s="2"/>
      <c r="FF66" s="465"/>
      <c r="FG66" s="465"/>
      <c r="FH66" s="2"/>
      <c r="FI66" s="456"/>
      <c r="FJ66" s="456"/>
      <c r="FK66" s="456"/>
      <c r="FL66" s="456"/>
      <c r="FM66" s="456"/>
      <c r="FN66" s="456"/>
      <c r="FO66" s="456"/>
      <c r="FP66" s="456"/>
      <c r="FQ66" s="456"/>
      <c r="FR66" s="456"/>
      <c r="FS66" s="456"/>
      <c r="FT66" s="456"/>
      <c r="FU66" s="456"/>
      <c r="FV66" s="456"/>
      <c r="FW66" s="456"/>
      <c r="FX66" s="456"/>
      <c r="FY66" s="456"/>
      <c r="FZ66" s="456"/>
      <c r="GA66" s="456"/>
      <c r="GB66" s="456"/>
      <c r="GC66" s="456"/>
      <c r="GD66" s="456"/>
      <c r="GE66" s="456"/>
      <c r="GF66" s="456"/>
      <c r="GG66" s="456"/>
      <c r="GH66" s="456"/>
      <c r="GI66" s="456"/>
      <c r="GJ66" s="457"/>
      <c r="GK66" s="457"/>
      <c r="GL66" s="459"/>
      <c r="GM66" s="456"/>
      <c r="GN66" s="456"/>
      <c r="GO66" s="527"/>
      <c r="GP66" s="456"/>
      <c r="GQ66" s="456"/>
      <c r="GR66" s="456"/>
      <c r="GS66" s="456"/>
      <c r="GT66" s="456"/>
      <c r="GU66" s="456"/>
      <c r="GV66" s="456"/>
      <c r="GW66" s="456"/>
      <c r="GX66" s="456"/>
      <c r="GY66" s="456"/>
      <c r="GZ66" s="456"/>
      <c r="HA66" s="456"/>
      <c r="HB66" s="456"/>
      <c r="HC66" s="456"/>
      <c r="HD66" s="456"/>
      <c r="HE66" s="456"/>
      <c r="HF66" s="456"/>
      <c r="HG66" s="456"/>
      <c r="HH66" s="456"/>
      <c r="HI66" s="456"/>
      <c r="HJ66" s="456"/>
      <c r="HK66" s="456"/>
      <c r="HL66" s="456"/>
      <c r="HM66" s="456"/>
      <c r="HN66" s="456"/>
      <c r="HO66" s="456"/>
      <c r="HP66" s="456"/>
      <c r="HQ66" s="456"/>
      <c r="HR66" s="456"/>
      <c r="HS66" s="456"/>
      <c r="HT66" s="456"/>
      <c r="HU66" s="456"/>
      <c r="HV66" s="456"/>
      <c r="HW66" s="456"/>
      <c r="HX66" s="456"/>
      <c r="HY66" s="456"/>
      <c r="HZ66" s="456"/>
      <c r="IA66" s="456"/>
      <c r="IB66" s="456"/>
      <c r="IC66" s="456"/>
      <c r="ID66" s="456"/>
      <c r="IE66" s="456"/>
      <c r="IF66" s="456"/>
      <c r="IG66" s="456"/>
      <c r="IH66" s="456"/>
      <c r="II66" s="456"/>
      <c r="IJ66" s="456"/>
      <c r="IK66" s="456"/>
      <c r="IL66" s="456"/>
      <c r="IM66" s="456"/>
      <c r="IN66" s="457"/>
      <c r="IO66" s="457"/>
      <c r="IP66" s="456"/>
      <c r="IQ66" s="456"/>
      <c r="IR66" s="456"/>
      <c r="IS66" s="456"/>
      <c r="IT66" s="456"/>
      <c r="IU66" s="456"/>
      <c r="IV66" s="456"/>
      <c r="IW66" s="456"/>
      <c r="IX66" s="456"/>
      <c r="IY66" s="456"/>
      <c r="IZ66" s="456"/>
      <c r="JA66" s="456"/>
      <c r="JB66" s="456"/>
      <c r="JC66" s="456"/>
      <c r="JD66" s="456"/>
      <c r="JE66" s="456"/>
      <c r="JF66" s="456"/>
      <c r="JG66" s="456"/>
      <c r="JH66" s="456"/>
      <c r="JI66" s="456"/>
      <c r="JJ66" s="456"/>
      <c r="JK66" s="456"/>
      <c r="JL66" s="456"/>
      <c r="JM66" s="456"/>
      <c r="JN66" s="456"/>
      <c r="JO66" s="456"/>
      <c r="JP66" s="456"/>
      <c r="JQ66" s="456"/>
      <c r="JR66" s="456"/>
      <c r="JS66" s="456"/>
      <c r="JT66" s="456"/>
      <c r="JU66" s="456"/>
      <c r="JV66" s="456"/>
      <c r="JW66" s="456"/>
      <c r="JX66" s="456"/>
      <c r="JY66" s="456"/>
      <c r="JZ66" s="456"/>
      <c r="KA66" s="456"/>
      <c r="KB66" s="456"/>
      <c r="KC66" s="456"/>
      <c r="KD66" s="456"/>
      <c r="KE66" s="456"/>
      <c r="KF66" s="456"/>
    </row>
    <row r="67" spans="1:292" ht="70" customHeight="1">
      <c r="A67" s="170" t="s">
        <v>225</v>
      </c>
      <c r="B67" s="334"/>
      <c r="C67" s="334"/>
      <c r="D67" s="334"/>
      <c r="E67" s="334"/>
      <c r="F67" s="331" t="s">
        <v>113</v>
      </c>
      <c r="G67" s="350" t="s">
        <v>226</v>
      </c>
      <c r="H67" s="313"/>
      <c r="I67" s="104" t="s">
        <v>54</v>
      </c>
      <c r="J67" s="156" t="s">
        <v>115</v>
      </c>
      <c r="K67" s="237"/>
      <c r="L67" s="41" t="s">
        <v>55</v>
      </c>
      <c r="M67" s="497"/>
      <c r="N67" s="141"/>
      <c r="O67" s="61"/>
      <c r="P67" s="526">
        <f t="shared" si="19"/>
        <v>46340</v>
      </c>
      <c r="Q67" s="571">
        <f t="shared" si="18"/>
        <v>46368</v>
      </c>
      <c r="R67" s="572">
        <v>46460</v>
      </c>
      <c r="S67" s="577"/>
      <c r="T67" s="453">
        <f t="shared" ref="T67:T72" si="20">T66+28</f>
        <v>46502</v>
      </c>
      <c r="U67" s="259"/>
      <c r="V67" s="259"/>
      <c r="W67" s="75" t="s">
        <v>730</v>
      </c>
      <c r="X67" s="465"/>
      <c r="Y67" s="465"/>
      <c r="Z67" s="465"/>
      <c r="AA67" s="465"/>
      <c r="AB67" s="465"/>
      <c r="AC67" s="465"/>
      <c r="AD67" s="465"/>
      <c r="AE67" s="465"/>
      <c r="AF67" s="456"/>
      <c r="AG67" s="456"/>
      <c r="AH67" s="340"/>
      <c r="AI67" s="465"/>
      <c r="AJ67" s="457"/>
      <c r="AK67" s="457"/>
      <c r="AL67" s="456"/>
      <c r="AM67" s="465"/>
      <c r="AN67" s="465"/>
      <c r="AO67" s="465"/>
      <c r="AP67" s="456"/>
      <c r="AQ67" s="465"/>
      <c r="AR67" s="465"/>
      <c r="AS67" s="465"/>
      <c r="AT67" s="465"/>
      <c r="AU67" s="465"/>
      <c r="AV67" s="465"/>
      <c r="AW67" s="465"/>
      <c r="AX67" s="465"/>
      <c r="AY67" s="465"/>
      <c r="AZ67" s="465"/>
      <c r="BA67" s="465"/>
      <c r="BB67" s="465"/>
      <c r="BC67" s="2"/>
      <c r="BD67" s="2"/>
      <c r="BE67" s="456"/>
      <c r="BF67" s="456"/>
      <c r="BG67" s="456"/>
      <c r="BH67" s="456"/>
      <c r="BI67" s="456"/>
      <c r="BJ67" s="456"/>
      <c r="BK67" s="465"/>
      <c r="BL67" s="456"/>
      <c r="BM67" s="456"/>
      <c r="BN67" s="456"/>
      <c r="BO67" s="465"/>
      <c r="BP67" s="465"/>
      <c r="BQ67" s="465"/>
      <c r="BR67" s="465"/>
      <c r="BS67" s="465"/>
      <c r="BT67" s="465"/>
      <c r="BU67" s="465"/>
      <c r="BV67" s="465"/>
      <c r="BW67" s="465"/>
      <c r="BX67" s="465"/>
      <c r="BY67" s="465"/>
      <c r="BZ67" s="465"/>
      <c r="CA67" s="465"/>
      <c r="CB67" s="465"/>
      <c r="CC67" s="465"/>
      <c r="CD67" s="465"/>
      <c r="CE67" s="465"/>
      <c r="CF67" s="465"/>
      <c r="CG67" s="465"/>
      <c r="CH67" s="465"/>
      <c r="CI67" s="465"/>
      <c r="CJ67" s="465"/>
      <c r="CK67" s="465"/>
      <c r="CL67" s="465"/>
      <c r="CM67" s="457"/>
      <c r="CN67" s="457"/>
      <c r="CO67" s="456"/>
      <c r="CP67" s="2"/>
      <c r="CQ67" s="465"/>
      <c r="CR67" s="465"/>
      <c r="CS67" s="465"/>
      <c r="CT67" s="456"/>
      <c r="CU67" s="465"/>
      <c r="CV67" s="465"/>
      <c r="CW67" s="465"/>
      <c r="CX67" s="457"/>
      <c r="CY67" s="465"/>
      <c r="CZ67" s="465"/>
      <c r="DA67" s="456"/>
      <c r="DB67" s="465"/>
      <c r="DC67" s="465"/>
      <c r="DD67" s="465"/>
      <c r="DE67" s="465"/>
      <c r="DF67" s="465"/>
      <c r="DG67" s="465"/>
      <c r="DH67" s="465"/>
      <c r="DI67" s="465"/>
      <c r="DJ67" s="465"/>
      <c r="DK67" s="465"/>
      <c r="DL67" s="465"/>
      <c r="DM67" s="465"/>
      <c r="DN67" s="465"/>
      <c r="DO67" s="465"/>
      <c r="DP67" s="465"/>
      <c r="DQ67" s="465"/>
      <c r="DR67" s="465"/>
      <c r="DS67" s="465"/>
      <c r="DT67" s="465"/>
      <c r="DU67" s="465"/>
      <c r="DV67" s="465"/>
      <c r="DW67" s="465"/>
      <c r="DX67" s="465"/>
      <c r="DY67" s="465"/>
      <c r="DZ67" s="505" t="s">
        <v>91</v>
      </c>
      <c r="EA67" s="505"/>
      <c r="EB67" s="505"/>
      <c r="EC67" s="505"/>
      <c r="ED67" s="506" t="s">
        <v>87</v>
      </c>
      <c r="EE67" s="506"/>
      <c r="EF67" s="506"/>
      <c r="EG67" s="506"/>
      <c r="EH67" s="507" t="s">
        <v>81</v>
      </c>
      <c r="EI67" s="507"/>
      <c r="EJ67" s="507"/>
      <c r="EK67" s="507"/>
      <c r="EL67" s="457"/>
      <c r="EM67" s="457"/>
      <c r="EN67" s="471" t="s">
        <v>77</v>
      </c>
      <c r="EO67" s="471"/>
      <c r="EP67" s="471"/>
      <c r="EQ67" s="471"/>
      <c r="ER67" s="473" t="s">
        <v>66</v>
      </c>
      <c r="ES67" s="473"/>
      <c r="ET67" s="473"/>
      <c r="EU67" s="473"/>
      <c r="EV67" s="4" t="s">
        <v>67</v>
      </c>
      <c r="EW67" s="4"/>
      <c r="EX67" s="465"/>
      <c r="EY67" s="465"/>
      <c r="EZ67" s="465"/>
      <c r="FA67" s="465"/>
      <c r="FB67" s="465"/>
      <c r="FC67" s="465"/>
      <c r="FD67" s="465"/>
      <c r="FF67" s="465"/>
      <c r="FG67" s="465"/>
      <c r="FH67" s="465"/>
      <c r="FI67" s="456"/>
      <c r="FJ67" s="456"/>
      <c r="FK67" s="456"/>
      <c r="FL67" s="456"/>
      <c r="FM67" s="456"/>
      <c r="FN67" s="456"/>
      <c r="FO67" s="456"/>
      <c r="FP67" s="456"/>
      <c r="FQ67" s="456"/>
      <c r="FR67" s="456"/>
      <c r="FS67" s="456"/>
      <c r="FT67" s="456"/>
      <c r="FU67" s="456"/>
      <c r="FV67" s="456"/>
      <c r="FW67" s="456"/>
      <c r="FX67" s="456"/>
      <c r="FY67" s="456"/>
      <c r="FZ67" s="456"/>
      <c r="GA67" s="456"/>
      <c r="GB67" s="456"/>
      <c r="GC67" s="456"/>
      <c r="GD67" s="456"/>
      <c r="GE67" s="456"/>
      <c r="GF67" s="456"/>
      <c r="GG67" s="456"/>
      <c r="GH67" s="456"/>
      <c r="GI67" s="456"/>
      <c r="GJ67" s="457"/>
      <c r="GK67" s="457"/>
      <c r="GL67" s="459"/>
      <c r="GM67" s="456"/>
      <c r="GN67" s="456"/>
      <c r="GO67" s="527"/>
      <c r="GP67" s="456"/>
      <c r="GQ67" s="456"/>
      <c r="GR67" s="456"/>
      <c r="GS67" s="456"/>
      <c r="GT67" s="456"/>
      <c r="GU67" s="456"/>
      <c r="GV67" s="456"/>
      <c r="GW67" s="456"/>
      <c r="GX67" s="456"/>
      <c r="GY67" s="456"/>
      <c r="GZ67" s="456"/>
      <c r="HA67" s="456"/>
      <c r="HB67" s="456"/>
      <c r="HC67" s="456"/>
      <c r="HD67" s="456"/>
      <c r="HE67" s="456"/>
      <c r="HF67" s="456"/>
      <c r="HG67" s="456"/>
      <c r="HH67" s="456"/>
      <c r="HI67" s="456"/>
      <c r="HJ67" s="456"/>
      <c r="HK67" s="456"/>
      <c r="HL67" s="456"/>
      <c r="HM67" s="456"/>
      <c r="HN67" s="456"/>
      <c r="HO67" s="456"/>
      <c r="HP67" s="456"/>
      <c r="HQ67" s="456"/>
      <c r="HR67" s="456"/>
      <c r="HS67" s="456"/>
      <c r="HT67" s="456"/>
      <c r="HU67" s="456"/>
      <c r="HV67" s="456"/>
      <c r="HW67" s="456"/>
      <c r="HX67" s="456"/>
      <c r="HY67" s="456"/>
      <c r="HZ67" s="456"/>
      <c r="IA67" s="456"/>
      <c r="IB67" s="456"/>
      <c r="IC67" s="456"/>
      <c r="ID67" s="456"/>
      <c r="IE67" s="456"/>
      <c r="IF67" s="456"/>
      <c r="IG67" s="456"/>
      <c r="IH67" s="456"/>
      <c r="II67" s="456"/>
      <c r="IJ67" s="456"/>
      <c r="IK67" s="456"/>
      <c r="IL67" s="456"/>
      <c r="IM67" s="456"/>
      <c r="IN67" s="457"/>
      <c r="IO67" s="457"/>
      <c r="IP67" s="456"/>
      <c r="IQ67" s="456"/>
      <c r="IR67" s="456"/>
      <c r="IS67" s="456"/>
      <c r="IT67" s="456"/>
      <c r="IU67" s="456"/>
      <c r="IV67" s="456"/>
      <c r="IW67" s="456"/>
      <c r="IX67" s="456"/>
      <c r="IY67" s="456"/>
      <c r="IZ67" s="456"/>
      <c r="JA67" s="456"/>
      <c r="JB67" s="456"/>
      <c r="JC67" s="456"/>
      <c r="JD67" s="456"/>
      <c r="JE67" s="456"/>
      <c r="JF67" s="456"/>
      <c r="JG67" s="456"/>
      <c r="JH67" s="456"/>
      <c r="JI67" s="456"/>
      <c r="JJ67" s="456"/>
      <c r="JK67" s="456"/>
      <c r="JL67" s="456"/>
      <c r="JM67" s="456"/>
      <c r="JN67" s="456"/>
      <c r="JO67" s="456"/>
      <c r="JP67" s="456"/>
      <c r="JQ67" s="456"/>
      <c r="JR67" s="456"/>
      <c r="JS67" s="456"/>
      <c r="JT67" s="456"/>
      <c r="JU67" s="456"/>
      <c r="JV67" s="456"/>
      <c r="JW67" s="456"/>
      <c r="JX67" s="456"/>
      <c r="JY67" s="456"/>
      <c r="JZ67" s="456"/>
      <c r="KA67" s="456"/>
      <c r="KB67" s="456"/>
      <c r="KC67" s="456"/>
      <c r="KD67" s="456"/>
      <c r="KE67" s="456"/>
      <c r="KF67" s="456"/>
    </row>
    <row r="68" spans="1:292" ht="70" customHeight="1">
      <c r="A68" s="170" t="s">
        <v>227</v>
      </c>
      <c r="B68" s="353"/>
      <c r="C68" s="353"/>
      <c r="D68" s="353"/>
      <c r="E68" s="353"/>
      <c r="F68" s="331" t="s">
        <v>113</v>
      </c>
      <c r="G68" s="350" t="s">
        <v>228</v>
      </c>
      <c r="H68" s="313"/>
      <c r="I68" s="104" t="s">
        <v>54</v>
      </c>
      <c r="J68" s="156" t="s">
        <v>115</v>
      </c>
      <c r="K68" s="236"/>
      <c r="L68" s="41" t="s">
        <v>55</v>
      </c>
      <c r="M68" s="497"/>
      <c r="N68" s="141"/>
      <c r="O68" s="61"/>
      <c r="P68" s="526">
        <f t="shared" si="19"/>
        <v>46368</v>
      </c>
      <c r="Q68" s="571">
        <f t="shared" si="18"/>
        <v>46396</v>
      </c>
      <c r="R68" s="572">
        <f t="shared" si="17"/>
        <v>46488</v>
      </c>
      <c r="S68" s="26"/>
      <c r="T68" s="453">
        <f t="shared" si="20"/>
        <v>46530</v>
      </c>
      <c r="U68" s="354"/>
      <c r="V68" s="259"/>
      <c r="W68" s="75" t="s">
        <v>730</v>
      </c>
      <c r="X68" s="456"/>
      <c r="Y68" s="456"/>
      <c r="Z68" s="456"/>
      <c r="AA68" s="456"/>
      <c r="AB68" s="456"/>
      <c r="AC68" s="456"/>
      <c r="AD68" s="456"/>
      <c r="AE68" s="456"/>
      <c r="AF68" s="456"/>
      <c r="AG68" s="456"/>
      <c r="AH68" s="456"/>
      <c r="AI68" s="456"/>
      <c r="AJ68" s="457"/>
      <c r="AK68" s="457"/>
      <c r="AL68" s="456"/>
      <c r="AM68" s="456"/>
      <c r="AN68" s="456"/>
      <c r="AO68" s="456"/>
      <c r="AP68" s="456"/>
      <c r="AQ68" s="456"/>
      <c r="AR68" s="456"/>
      <c r="AS68" s="456"/>
      <c r="AT68" s="456"/>
      <c r="AU68" s="456"/>
      <c r="AV68" s="456"/>
      <c r="AW68" s="456"/>
      <c r="AX68" s="456"/>
      <c r="AY68" s="456"/>
      <c r="AZ68" s="456"/>
      <c r="BA68" s="456"/>
      <c r="BB68" s="456"/>
      <c r="BC68" s="456"/>
      <c r="BD68" s="456"/>
      <c r="BE68" s="456"/>
      <c r="BF68" s="456"/>
      <c r="BG68" s="456"/>
      <c r="BH68" s="456"/>
      <c r="BI68" s="456"/>
      <c r="BJ68" s="456"/>
      <c r="BK68" s="456"/>
      <c r="BL68" s="456"/>
      <c r="BM68" s="456"/>
      <c r="BN68" s="456"/>
      <c r="BO68" s="456"/>
      <c r="BP68" s="456"/>
      <c r="BQ68" s="456"/>
      <c r="BR68" s="456"/>
      <c r="BS68" s="456"/>
      <c r="BT68" s="456"/>
      <c r="BU68" s="456"/>
      <c r="BV68" s="456"/>
      <c r="BW68" s="456"/>
      <c r="BX68" s="456"/>
      <c r="BY68" s="456"/>
      <c r="BZ68" s="456"/>
      <c r="CA68" s="456"/>
      <c r="CB68" s="456"/>
      <c r="CC68" s="456"/>
      <c r="CD68" s="456"/>
      <c r="CE68" s="456"/>
      <c r="CF68" s="456"/>
      <c r="CG68" s="456"/>
      <c r="CH68" s="456"/>
      <c r="CI68" s="456"/>
      <c r="CJ68" s="456"/>
      <c r="CK68" s="456"/>
      <c r="CL68" s="456"/>
      <c r="CM68" s="457"/>
      <c r="CN68" s="457"/>
      <c r="CO68" s="456"/>
      <c r="CP68" s="456"/>
      <c r="CQ68" s="456"/>
      <c r="CR68" s="456"/>
      <c r="CS68" s="456"/>
      <c r="CT68" s="456"/>
      <c r="CU68" s="456"/>
      <c r="CV68" s="456"/>
      <c r="CW68" s="456"/>
      <c r="CX68" s="457"/>
      <c r="CY68" s="456"/>
      <c r="CZ68" s="456"/>
      <c r="DA68" s="456"/>
      <c r="DB68" s="456"/>
      <c r="DC68" s="456"/>
      <c r="DD68" s="456"/>
      <c r="DE68" s="456"/>
      <c r="DF68" s="456"/>
      <c r="DG68" s="456"/>
      <c r="DH68" s="456"/>
      <c r="DI68" s="456"/>
      <c r="DJ68" s="456"/>
      <c r="DK68" s="456"/>
      <c r="DL68" s="456"/>
      <c r="DM68" s="456"/>
      <c r="DN68" s="456"/>
      <c r="DO68" s="456"/>
      <c r="DP68" s="456"/>
      <c r="DQ68" s="456"/>
      <c r="DR68" s="456"/>
      <c r="DS68" s="456"/>
      <c r="DT68" s="456"/>
      <c r="DU68" s="456"/>
      <c r="DV68" s="456"/>
      <c r="DW68" s="456"/>
      <c r="DX68" s="456"/>
      <c r="DY68" s="456"/>
      <c r="DZ68" s="456"/>
      <c r="EA68" s="456"/>
      <c r="EB68" s="456"/>
      <c r="EC68" s="456"/>
      <c r="ED68" s="505" t="s">
        <v>91</v>
      </c>
      <c r="EE68" s="505"/>
      <c r="EF68" s="505"/>
      <c r="EG68" s="505"/>
      <c r="EH68" s="506" t="s">
        <v>87</v>
      </c>
      <c r="EI68" s="506"/>
      <c r="EJ68" s="506"/>
      <c r="EK68" s="506"/>
      <c r="EL68" s="457"/>
      <c r="EM68" s="457"/>
      <c r="EN68" s="507" t="s">
        <v>81</v>
      </c>
      <c r="EO68" s="507"/>
      <c r="EP68" s="507"/>
      <c r="EQ68" s="507"/>
      <c r="ER68" s="471" t="s">
        <v>77</v>
      </c>
      <c r="ES68" s="471"/>
      <c r="ET68" s="471"/>
      <c r="EU68" s="471"/>
      <c r="EV68" s="473" t="s">
        <v>66</v>
      </c>
      <c r="EW68" s="473"/>
      <c r="EX68" s="473"/>
      <c r="EY68" s="473"/>
      <c r="EZ68" s="4" t="s">
        <v>67</v>
      </c>
      <c r="FA68" s="4"/>
      <c r="FB68" s="465"/>
      <c r="FC68" s="456"/>
      <c r="FD68" s="456"/>
      <c r="FE68" s="465"/>
      <c r="FF68" s="465"/>
      <c r="FG68" s="465"/>
      <c r="FH68" s="465"/>
      <c r="FI68" s="456"/>
      <c r="FJ68" s="456"/>
      <c r="FK68" s="456"/>
      <c r="FL68" s="456"/>
      <c r="FM68" s="456"/>
      <c r="FN68" s="456"/>
      <c r="FO68" s="456"/>
      <c r="FP68" s="456"/>
      <c r="FQ68" s="456"/>
      <c r="FR68" s="456"/>
      <c r="FS68" s="456"/>
      <c r="FT68" s="456"/>
      <c r="FU68" s="456"/>
      <c r="FV68" s="456"/>
      <c r="FW68" s="456"/>
      <c r="FX68" s="456"/>
      <c r="FY68" s="456"/>
      <c r="FZ68" s="456"/>
      <c r="GA68" s="456"/>
      <c r="GB68" s="456"/>
      <c r="GC68" s="456"/>
      <c r="GD68" s="456"/>
      <c r="GE68" s="456"/>
      <c r="GF68" s="456"/>
      <c r="GG68" s="456"/>
      <c r="GH68" s="456"/>
      <c r="GI68" s="456"/>
      <c r="GJ68" s="457"/>
      <c r="GK68" s="457"/>
      <c r="GL68" s="459"/>
      <c r="GM68" s="456"/>
      <c r="GN68" s="456"/>
      <c r="GO68" s="527"/>
      <c r="GP68" s="456"/>
      <c r="GQ68" s="456"/>
      <c r="GR68" s="456"/>
      <c r="GS68" s="456"/>
      <c r="GT68" s="456"/>
      <c r="GU68" s="456"/>
      <c r="GV68" s="456"/>
      <c r="GW68" s="456"/>
      <c r="GX68" s="456"/>
      <c r="GY68" s="456"/>
      <c r="GZ68" s="456"/>
      <c r="HA68" s="456"/>
      <c r="HB68" s="456"/>
      <c r="HC68" s="456"/>
      <c r="HD68" s="456"/>
      <c r="HE68" s="456"/>
      <c r="HF68" s="456"/>
      <c r="HG68" s="456"/>
      <c r="HH68" s="456"/>
      <c r="HI68" s="456"/>
      <c r="HJ68" s="456"/>
      <c r="HK68" s="456"/>
      <c r="HL68" s="456"/>
      <c r="HM68" s="456"/>
      <c r="HN68" s="456"/>
      <c r="HO68" s="456"/>
      <c r="HP68" s="456"/>
      <c r="HQ68" s="456"/>
      <c r="HR68" s="456"/>
      <c r="HS68" s="456"/>
      <c r="HT68" s="456"/>
      <c r="HU68" s="456"/>
      <c r="HV68" s="456"/>
      <c r="HW68" s="456"/>
      <c r="HX68" s="456"/>
      <c r="HY68" s="456"/>
      <c r="HZ68" s="456"/>
      <c r="IA68" s="456"/>
      <c r="IB68" s="456"/>
      <c r="IC68" s="456"/>
      <c r="ID68" s="456"/>
      <c r="IE68" s="456"/>
      <c r="IF68" s="456"/>
      <c r="IG68" s="456"/>
      <c r="IH68" s="456"/>
      <c r="II68" s="456"/>
      <c r="IJ68" s="456"/>
      <c r="IK68" s="456"/>
      <c r="IL68" s="456"/>
      <c r="IM68" s="456"/>
      <c r="IN68" s="457"/>
      <c r="IO68" s="457"/>
      <c r="IP68" s="456"/>
      <c r="IQ68" s="456"/>
      <c r="IR68" s="456"/>
      <c r="IS68" s="456"/>
      <c r="IT68" s="456"/>
      <c r="IU68" s="456"/>
      <c r="IV68" s="456"/>
      <c r="IW68" s="456"/>
      <c r="IX68" s="456"/>
      <c r="IY68" s="456"/>
      <c r="IZ68" s="456"/>
      <c r="JA68" s="456"/>
      <c r="JB68" s="456"/>
      <c r="JC68" s="456"/>
      <c r="JD68" s="456"/>
      <c r="JE68" s="456"/>
      <c r="JF68" s="456"/>
      <c r="JG68" s="456"/>
      <c r="JH68" s="456"/>
      <c r="JI68" s="456"/>
      <c r="JJ68" s="456"/>
      <c r="JK68" s="456"/>
      <c r="JL68" s="456"/>
      <c r="JM68" s="456"/>
      <c r="JN68" s="456"/>
      <c r="JO68" s="456"/>
      <c r="JP68" s="456"/>
      <c r="JQ68" s="456"/>
      <c r="JR68" s="456"/>
      <c r="JS68" s="456"/>
      <c r="JT68" s="456"/>
      <c r="JU68" s="456"/>
      <c r="JV68" s="456"/>
      <c r="JW68" s="456"/>
      <c r="JX68" s="456"/>
      <c r="JY68" s="456"/>
      <c r="JZ68" s="456"/>
      <c r="KA68" s="456"/>
      <c r="KB68" s="456"/>
      <c r="KC68" s="456"/>
      <c r="KD68" s="456"/>
      <c r="KE68" s="456"/>
      <c r="KF68" s="456"/>
    </row>
    <row r="69" spans="1:292" ht="70" customHeight="1">
      <c r="A69" s="164" t="s">
        <v>229</v>
      </c>
      <c r="B69" s="353"/>
      <c r="C69" s="353"/>
      <c r="D69" s="353"/>
      <c r="E69" s="353"/>
      <c r="F69" s="355" t="s">
        <v>113</v>
      </c>
      <c r="G69" s="356" t="s">
        <v>230</v>
      </c>
      <c r="H69" s="356"/>
      <c r="I69" s="104" t="s">
        <v>54</v>
      </c>
      <c r="J69" s="156" t="s">
        <v>115</v>
      </c>
      <c r="K69" s="234"/>
      <c r="L69" s="41" t="s">
        <v>55</v>
      </c>
      <c r="M69" s="497"/>
      <c r="N69" s="209"/>
      <c r="O69" s="175"/>
      <c r="P69" s="579">
        <f t="shared" si="19"/>
        <v>46396</v>
      </c>
      <c r="Q69" s="580">
        <v>46439</v>
      </c>
      <c r="R69" s="581">
        <f t="shared" si="17"/>
        <v>46516</v>
      </c>
      <c r="S69" s="50"/>
      <c r="T69" s="462">
        <f t="shared" si="20"/>
        <v>46558</v>
      </c>
      <c r="U69" s="357"/>
      <c r="V69" s="265"/>
      <c r="W69" s="75" t="s">
        <v>730</v>
      </c>
      <c r="X69" s="458"/>
      <c r="Y69" s="458"/>
      <c r="Z69" s="458"/>
      <c r="AA69" s="458"/>
      <c r="AB69" s="458"/>
      <c r="AC69" s="458"/>
      <c r="AD69" s="458"/>
      <c r="AE69" s="458"/>
      <c r="AF69" s="458"/>
      <c r="AG69" s="458"/>
      <c r="AH69" s="458"/>
      <c r="AI69" s="458"/>
      <c r="AJ69" s="470"/>
      <c r="AK69" s="470"/>
      <c r="AL69" s="458"/>
      <c r="AM69" s="458"/>
      <c r="AN69" s="458"/>
      <c r="AO69" s="458"/>
      <c r="AP69" s="458"/>
      <c r="AQ69" s="458"/>
      <c r="AR69" s="458"/>
      <c r="AS69" s="458"/>
      <c r="AT69" s="458"/>
      <c r="AU69" s="458"/>
      <c r="AV69" s="458"/>
      <c r="AW69" s="458"/>
      <c r="AX69" s="458"/>
      <c r="AY69" s="458"/>
      <c r="AZ69" s="458"/>
      <c r="BA69" s="458"/>
      <c r="BB69" s="458"/>
      <c r="BC69" s="458"/>
      <c r="BD69" s="458"/>
      <c r="BE69" s="458"/>
      <c r="BF69" s="458"/>
      <c r="BG69" s="458"/>
      <c r="BH69" s="458"/>
      <c r="BI69" s="458"/>
      <c r="BJ69" s="458"/>
      <c r="BK69" s="458"/>
      <c r="BL69" s="458"/>
      <c r="BM69" s="458"/>
      <c r="BN69" s="458"/>
      <c r="BO69" s="458"/>
      <c r="BP69" s="458"/>
      <c r="BQ69" s="458"/>
      <c r="BR69" s="458"/>
      <c r="BS69" s="458"/>
      <c r="BT69" s="458"/>
      <c r="BU69" s="458"/>
      <c r="BV69" s="458"/>
      <c r="BW69" s="458"/>
      <c r="BX69" s="458"/>
      <c r="BY69" s="458"/>
      <c r="BZ69" s="458"/>
      <c r="CA69" s="458"/>
      <c r="CB69" s="458"/>
      <c r="CC69" s="458"/>
      <c r="CD69" s="458"/>
      <c r="CE69" s="458"/>
      <c r="CF69" s="458"/>
      <c r="CG69" s="458"/>
      <c r="CH69" s="458"/>
      <c r="CI69" s="458"/>
      <c r="CJ69" s="458"/>
      <c r="CK69" s="458"/>
      <c r="CL69" s="458"/>
      <c r="CM69" s="470"/>
      <c r="CN69" s="470"/>
      <c r="CO69" s="458"/>
      <c r="CP69" s="458"/>
      <c r="CQ69" s="458"/>
      <c r="CR69" s="458"/>
      <c r="CS69" s="458"/>
      <c r="CT69" s="458"/>
      <c r="CU69" s="458"/>
      <c r="CV69" s="458"/>
      <c r="CW69" s="458"/>
      <c r="CX69" s="470"/>
      <c r="CY69" s="458"/>
      <c r="CZ69" s="458"/>
      <c r="DA69" s="458"/>
      <c r="DB69" s="458"/>
      <c r="DC69" s="458"/>
      <c r="DD69" s="458"/>
      <c r="DE69" s="458"/>
      <c r="DF69" s="458"/>
      <c r="DG69" s="458"/>
      <c r="DH69" s="458"/>
      <c r="DI69" s="458"/>
      <c r="DJ69" s="458"/>
      <c r="DK69" s="458"/>
      <c r="DL69" s="458"/>
      <c r="DM69" s="458"/>
      <c r="DN69" s="458"/>
      <c r="DO69" s="458"/>
      <c r="DP69" s="458"/>
      <c r="DQ69" s="458"/>
      <c r="DR69" s="458"/>
      <c r="DS69" s="458"/>
      <c r="DT69" s="458"/>
      <c r="DU69" s="458"/>
      <c r="DV69" s="458"/>
      <c r="DW69" s="458"/>
      <c r="DX69" s="458"/>
      <c r="DY69" s="458"/>
      <c r="DZ69" s="458"/>
      <c r="EA69" s="458"/>
      <c r="EB69" s="458"/>
      <c r="EC69" s="458"/>
      <c r="ED69" s="512"/>
      <c r="EE69" s="512"/>
      <c r="EF69" s="512"/>
      <c r="EG69" s="512"/>
      <c r="EH69" s="513" t="s">
        <v>91</v>
      </c>
      <c r="EI69" s="513"/>
      <c r="EJ69" s="513"/>
      <c r="EK69" s="513"/>
      <c r="EL69" s="457"/>
      <c r="EM69" s="457"/>
      <c r="EN69" s="506" t="s">
        <v>87</v>
      </c>
      <c r="EO69" s="514"/>
      <c r="EP69" s="514"/>
      <c r="EQ69" s="514"/>
      <c r="ER69" s="515" t="s">
        <v>81</v>
      </c>
      <c r="ES69" s="515"/>
      <c r="ET69" s="515"/>
      <c r="EU69" s="515"/>
      <c r="EV69" s="472" t="s">
        <v>77</v>
      </c>
      <c r="EW69" s="472"/>
      <c r="EX69" s="472"/>
      <c r="EY69" s="472"/>
      <c r="EZ69" s="535" t="s">
        <v>66</v>
      </c>
      <c r="FA69" s="535"/>
      <c r="FB69" s="535"/>
      <c r="FC69" s="535"/>
      <c r="FD69" s="6" t="s">
        <v>67</v>
      </c>
      <c r="FE69" s="6"/>
      <c r="FF69" s="512"/>
      <c r="FG69" s="512"/>
      <c r="FH69" s="512"/>
      <c r="FI69" s="458"/>
      <c r="FJ69" s="458"/>
      <c r="FK69" s="458"/>
      <c r="FL69" s="458"/>
      <c r="FM69" s="458"/>
      <c r="FN69" s="458"/>
      <c r="FO69" s="458"/>
      <c r="FP69" s="458"/>
      <c r="FQ69" s="458"/>
      <c r="FR69" s="458"/>
      <c r="FS69" s="458"/>
      <c r="FT69" s="458"/>
      <c r="FU69" s="458"/>
      <c r="FV69" s="458"/>
      <c r="FW69" s="458"/>
      <c r="FX69" s="458"/>
      <c r="FY69" s="458"/>
      <c r="FZ69" s="458"/>
      <c r="GA69" s="458"/>
      <c r="GB69" s="458"/>
      <c r="GC69" s="458"/>
      <c r="GD69" s="458"/>
      <c r="GE69" s="458"/>
      <c r="GF69" s="458"/>
      <c r="GG69" s="458"/>
      <c r="GH69" s="458"/>
      <c r="GI69" s="458"/>
      <c r="GJ69" s="470"/>
      <c r="GK69" s="470"/>
      <c r="GL69" s="554"/>
      <c r="GM69" s="456"/>
      <c r="GN69" s="456"/>
      <c r="GO69" s="555"/>
      <c r="GP69" s="582"/>
      <c r="GQ69" s="582"/>
      <c r="GR69" s="582"/>
      <c r="GS69" s="582"/>
      <c r="GT69" s="582"/>
      <c r="GU69" s="582"/>
      <c r="GV69" s="582"/>
      <c r="GW69" s="582"/>
      <c r="GX69" s="582"/>
      <c r="GY69" s="582"/>
      <c r="GZ69" s="582"/>
      <c r="HA69" s="582"/>
      <c r="HB69" s="582"/>
      <c r="HC69" s="582"/>
      <c r="HD69" s="582"/>
      <c r="HE69" s="582"/>
      <c r="HF69" s="582"/>
      <c r="HG69" s="582"/>
      <c r="HH69" s="582"/>
      <c r="HI69" s="582"/>
      <c r="HJ69" s="582"/>
      <c r="HK69" s="582"/>
      <c r="HL69" s="582"/>
      <c r="HM69" s="582"/>
      <c r="HN69" s="582"/>
      <c r="HO69" s="458"/>
      <c r="HP69" s="458"/>
      <c r="HQ69" s="458"/>
      <c r="HR69" s="458"/>
      <c r="HS69" s="458"/>
      <c r="HT69" s="458"/>
      <c r="HU69" s="458"/>
      <c r="HV69" s="458"/>
      <c r="HW69" s="458"/>
      <c r="HX69" s="458"/>
      <c r="HY69" s="458"/>
      <c r="HZ69" s="458"/>
      <c r="IA69" s="458"/>
      <c r="IB69" s="458"/>
      <c r="IC69" s="458"/>
      <c r="ID69" s="458"/>
      <c r="IE69" s="458"/>
      <c r="IF69" s="458"/>
      <c r="IG69" s="458"/>
      <c r="IH69" s="458"/>
      <c r="II69" s="458"/>
      <c r="IJ69" s="458"/>
      <c r="IK69" s="458"/>
      <c r="IL69" s="458"/>
      <c r="IM69" s="458"/>
      <c r="IN69" s="470"/>
      <c r="IO69" s="470"/>
      <c r="IP69" s="458"/>
      <c r="IQ69" s="458"/>
      <c r="IR69" s="458"/>
      <c r="IS69" s="458"/>
      <c r="IT69" s="458"/>
      <c r="IU69" s="458"/>
      <c r="IV69" s="458"/>
      <c r="IW69" s="458"/>
      <c r="IX69" s="458"/>
      <c r="IY69" s="458"/>
      <c r="IZ69" s="458"/>
      <c r="JA69" s="458"/>
      <c r="JB69" s="458"/>
      <c r="JC69" s="458"/>
      <c r="JD69" s="458"/>
      <c r="JE69" s="458"/>
      <c r="JF69" s="458"/>
      <c r="JG69" s="458"/>
      <c r="JH69" s="458"/>
      <c r="JI69" s="458"/>
      <c r="JJ69" s="458"/>
      <c r="JK69" s="458"/>
      <c r="JL69" s="458"/>
      <c r="JM69" s="458"/>
      <c r="JN69" s="458"/>
      <c r="JO69" s="458"/>
      <c r="JP69" s="458"/>
      <c r="JQ69" s="458"/>
      <c r="JR69" s="458"/>
      <c r="JS69" s="458"/>
      <c r="JT69" s="458"/>
      <c r="JU69" s="458"/>
      <c r="JV69" s="458"/>
      <c r="JW69" s="458"/>
      <c r="JX69" s="458"/>
      <c r="JY69" s="458"/>
      <c r="JZ69" s="458"/>
      <c r="KA69" s="458"/>
      <c r="KB69" s="458"/>
      <c r="KC69" s="458"/>
      <c r="KD69" s="458"/>
      <c r="KE69" s="458"/>
      <c r="KF69" s="458"/>
    </row>
    <row r="70" spans="1:292" ht="70" customHeight="1">
      <c r="A70" s="170" t="s">
        <v>231</v>
      </c>
      <c r="B70" s="334"/>
      <c r="C70" s="334"/>
      <c r="D70" s="334"/>
      <c r="E70" s="334"/>
      <c r="F70" s="331" t="s">
        <v>113</v>
      </c>
      <c r="G70" s="350" t="s">
        <v>232</v>
      </c>
      <c r="H70" s="350"/>
      <c r="I70" s="104" t="s">
        <v>54</v>
      </c>
      <c r="J70" s="156" t="s">
        <v>115</v>
      </c>
      <c r="K70" s="236"/>
      <c r="L70" s="41" t="s">
        <v>55</v>
      </c>
      <c r="M70" s="497"/>
      <c r="N70" s="74"/>
      <c r="O70" s="176"/>
      <c r="P70" s="526">
        <v>46439</v>
      </c>
      <c r="Q70" s="451">
        <f>Q69+28</f>
        <v>46467</v>
      </c>
      <c r="R70" s="452">
        <f t="shared" si="17"/>
        <v>46544</v>
      </c>
      <c r="S70" s="26"/>
      <c r="T70" s="453">
        <f t="shared" si="20"/>
        <v>46586</v>
      </c>
      <c r="U70" s="354"/>
      <c r="V70" s="259"/>
      <c r="W70" s="75" t="s">
        <v>730</v>
      </c>
      <c r="X70" s="456"/>
      <c r="Y70" s="456"/>
      <c r="Z70" s="456"/>
      <c r="AA70" s="456"/>
      <c r="AB70" s="456"/>
      <c r="AC70" s="456"/>
      <c r="AD70" s="456"/>
      <c r="AE70" s="456"/>
      <c r="AF70" s="456"/>
      <c r="AG70" s="456"/>
      <c r="AH70" s="456"/>
      <c r="AI70" s="456"/>
      <c r="AJ70" s="457"/>
      <c r="AK70" s="457"/>
      <c r="AL70" s="456"/>
      <c r="AM70" s="456"/>
      <c r="AN70" s="456"/>
      <c r="AO70" s="456"/>
      <c r="AP70" s="456"/>
      <c r="AQ70" s="456"/>
      <c r="AR70" s="456"/>
      <c r="AS70" s="456"/>
      <c r="AT70" s="456"/>
      <c r="AU70" s="456"/>
      <c r="AV70" s="456"/>
      <c r="AW70" s="456"/>
      <c r="AX70" s="456"/>
      <c r="AY70" s="456"/>
      <c r="AZ70" s="456"/>
      <c r="BA70" s="456"/>
      <c r="BB70" s="456"/>
      <c r="BC70" s="456"/>
      <c r="BD70" s="456"/>
      <c r="BE70" s="456"/>
      <c r="BF70" s="456"/>
      <c r="BG70" s="456"/>
      <c r="BH70" s="456"/>
      <c r="BI70" s="456"/>
      <c r="BJ70" s="456"/>
      <c r="BK70" s="456"/>
      <c r="BL70" s="456"/>
      <c r="BM70" s="456"/>
      <c r="BN70" s="456"/>
      <c r="BO70" s="456"/>
      <c r="BP70" s="456"/>
      <c r="BQ70" s="456"/>
      <c r="BR70" s="456"/>
      <c r="BS70" s="456"/>
      <c r="BT70" s="456"/>
      <c r="BU70" s="456"/>
      <c r="BV70" s="456"/>
      <c r="BW70" s="456"/>
      <c r="BX70" s="456"/>
      <c r="BY70" s="456"/>
      <c r="BZ70" s="456"/>
      <c r="CA70" s="456"/>
      <c r="CB70" s="456"/>
      <c r="CC70" s="456"/>
      <c r="CD70" s="456"/>
      <c r="CE70" s="456"/>
      <c r="CF70" s="456"/>
      <c r="CG70" s="456"/>
      <c r="CH70" s="456"/>
      <c r="CI70" s="456"/>
      <c r="CJ70" s="456"/>
      <c r="CK70" s="456"/>
      <c r="CL70" s="456"/>
      <c r="CM70" s="457"/>
      <c r="CN70" s="457"/>
      <c r="CO70" s="456"/>
      <c r="CP70" s="456"/>
      <c r="CQ70" s="456"/>
      <c r="CR70" s="456"/>
      <c r="CS70" s="456"/>
      <c r="CT70" s="456"/>
      <c r="CU70" s="456"/>
      <c r="CV70" s="456"/>
      <c r="CW70" s="456"/>
      <c r="CX70" s="457"/>
      <c r="CY70" s="456"/>
      <c r="CZ70" s="456"/>
      <c r="DA70" s="456"/>
      <c r="DB70" s="456"/>
      <c r="DC70" s="456"/>
      <c r="DD70" s="456"/>
      <c r="DE70" s="456"/>
      <c r="DF70" s="456"/>
      <c r="DG70" s="456"/>
      <c r="DH70" s="456"/>
      <c r="DI70" s="456"/>
      <c r="DJ70" s="456"/>
      <c r="DK70" s="456"/>
      <c r="DL70" s="456"/>
      <c r="DM70" s="456"/>
      <c r="DN70" s="456"/>
      <c r="DO70" s="456"/>
      <c r="DP70" s="456"/>
      <c r="DQ70" s="456"/>
      <c r="DR70" s="456"/>
      <c r="DS70" s="456"/>
      <c r="DT70" s="456"/>
      <c r="DU70" s="456"/>
      <c r="DV70" s="456"/>
      <c r="DW70" s="456"/>
      <c r="DX70" s="456"/>
      <c r="DY70" s="456"/>
      <c r="DZ70" s="456"/>
      <c r="EA70" s="456"/>
      <c r="EB70" s="456"/>
      <c r="EC70" s="456"/>
      <c r="ED70" s="465"/>
      <c r="EE70" s="465"/>
      <c r="EF70" s="465"/>
      <c r="EG70" s="465"/>
      <c r="EH70" s="465"/>
      <c r="EI70" s="465"/>
      <c r="EJ70" s="465"/>
      <c r="EK70" s="465"/>
      <c r="EL70" s="457"/>
      <c r="EM70" s="457"/>
      <c r="EN70" s="505" t="s">
        <v>91</v>
      </c>
      <c r="EO70" s="505"/>
      <c r="EP70" s="505"/>
      <c r="EQ70" s="505"/>
      <c r="ER70" s="506" t="s">
        <v>87</v>
      </c>
      <c r="ES70" s="506"/>
      <c r="ET70" s="506"/>
      <c r="EU70" s="506"/>
      <c r="EV70" s="507" t="s">
        <v>81</v>
      </c>
      <c r="EW70" s="507"/>
      <c r="EX70" s="507"/>
      <c r="EY70" s="507"/>
      <c r="EZ70" s="471" t="s">
        <v>77</v>
      </c>
      <c r="FA70" s="471"/>
      <c r="FB70" s="471"/>
      <c r="FC70" s="471"/>
      <c r="FD70" s="473" t="s">
        <v>66</v>
      </c>
      <c r="FE70" s="473"/>
      <c r="FF70" s="473"/>
      <c r="FG70" s="473"/>
      <c r="FH70" s="4" t="s">
        <v>67</v>
      </c>
      <c r="FI70" s="4"/>
      <c r="FJ70" s="456"/>
      <c r="FK70" s="456"/>
      <c r="FL70" s="456"/>
      <c r="FM70" s="456"/>
      <c r="FN70" s="456"/>
      <c r="FO70" s="456"/>
      <c r="FP70" s="456"/>
      <c r="FQ70" s="456"/>
      <c r="FR70" s="456"/>
      <c r="FS70" s="456"/>
      <c r="FT70" s="456"/>
      <c r="FU70" s="456"/>
      <c r="FV70" s="456"/>
      <c r="FW70" s="456"/>
      <c r="FX70" s="456"/>
      <c r="FY70" s="456"/>
      <c r="FZ70" s="456"/>
      <c r="GA70" s="456"/>
      <c r="GB70" s="456"/>
      <c r="GC70" s="456"/>
      <c r="GD70" s="456"/>
      <c r="GE70" s="456"/>
      <c r="GF70" s="456"/>
      <c r="GG70" s="456"/>
      <c r="GH70" s="456"/>
      <c r="GI70" s="456"/>
      <c r="GJ70" s="457"/>
      <c r="GK70" s="457"/>
      <c r="GL70" s="459"/>
      <c r="GM70" s="456"/>
      <c r="GN70" s="456"/>
      <c r="GO70" s="527"/>
      <c r="GP70" s="456"/>
      <c r="GQ70" s="456"/>
      <c r="GR70" s="456"/>
      <c r="GS70" s="456"/>
      <c r="GT70" s="456"/>
      <c r="GU70" s="456"/>
      <c r="GV70" s="456"/>
      <c r="GW70" s="456"/>
      <c r="GX70" s="456"/>
      <c r="GY70" s="456"/>
      <c r="GZ70" s="456"/>
      <c r="HA70" s="456"/>
      <c r="HB70" s="456"/>
      <c r="HC70" s="456"/>
      <c r="HD70" s="456"/>
      <c r="HE70" s="456"/>
      <c r="HF70" s="456"/>
      <c r="HG70" s="456"/>
      <c r="HH70" s="456"/>
      <c r="HI70" s="456"/>
      <c r="HJ70" s="456"/>
      <c r="HK70" s="456"/>
      <c r="HL70" s="456"/>
      <c r="HM70" s="456"/>
      <c r="HN70" s="456"/>
      <c r="HO70" s="456"/>
      <c r="HP70" s="456"/>
      <c r="HQ70" s="456"/>
      <c r="HR70" s="456"/>
      <c r="HS70" s="456"/>
      <c r="HT70" s="456"/>
      <c r="HU70" s="456"/>
      <c r="HV70" s="456"/>
      <c r="HW70" s="456"/>
      <c r="HX70" s="456"/>
      <c r="HY70" s="456"/>
      <c r="HZ70" s="456"/>
      <c r="IA70" s="456"/>
      <c r="IB70" s="456"/>
      <c r="IC70" s="456"/>
      <c r="ID70" s="456"/>
      <c r="IE70" s="456"/>
      <c r="IF70" s="456"/>
      <c r="IG70" s="456"/>
      <c r="IH70" s="456"/>
      <c r="II70" s="456"/>
      <c r="IJ70" s="456"/>
      <c r="IK70" s="456"/>
      <c r="IL70" s="456"/>
      <c r="IM70" s="456"/>
      <c r="IN70" s="457"/>
      <c r="IO70" s="457"/>
      <c r="IP70" s="456"/>
      <c r="IQ70" s="456"/>
      <c r="IR70" s="456"/>
      <c r="IS70" s="456"/>
      <c r="IT70" s="456"/>
      <c r="IU70" s="456"/>
      <c r="IV70" s="456"/>
      <c r="IW70" s="456"/>
      <c r="IX70" s="456"/>
      <c r="IY70" s="456"/>
      <c r="IZ70" s="456"/>
      <c r="JA70" s="456"/>
      <c r="JB70" s="456"/>
      <c r="JC70" s="456"/>
      <c r="JD70" s="456"/>
      <c r="JE70" s="456"/>
      <c r="JF70" s="456"/>
      <c r="JG70" s="456"/>
      <c r="JH70" s="456"/>
      <c r="JI70" s="456"/>
      <c r="JJ70" s="456"/>
      <c r="JK70" s="456"/>
      <c r="JL70" s="456"/>
      <c r="JM70" s="456"/>
      <c r="JN70" s="456"/>
      <c r="JO70" s="456"/>
      <c r="JP70" s="456"/>
      <c r="JQ70" s="456"/>
      <c r="JR70" s="456"/>
      <c r="JS70" s="456"/>
      <c r="JT70" s="456"/>
      <c r="JU70" s="456"/>
      <c r="JV70" s="456"/>
      <c r="JW70" s="456"/>
      <c r="JX70" s="456"/>
      <c r="JY70" s="456"/>
      <c r="JZ70" s="456"/>
      <c r="KA70" s="456"/>
      <c r="KB70" s="456"/>
      <c r="KC70" s="456"/>
      <c r="KD70" s="456"/>
      <c r="KE70" s="456"/>
      <c r="KF70" s="456"/>
    </row>
    <row r="71" spans="1:292" ht="70" customHeight="1">
      <c r="A71" s="170" t="s">
        <v>432</v>
      </c>
      <c r="B71" s="334"/>
      <c r="C71" s="334"/>
      <c r="D71" s="334"/>
      <c r="E71" s="334"/>
      <c r="F71" s="331" t="s">
        <v>113</v>
      </c>
      <c r="G71" s="350" t="s">
        <v>708</v>
      </c>
      <c r="H71" s="350"/>
      <c r="I71" s="104" t="s">
        <v>54</v>
      </c>
      <c r="J71" s="156" t="s">
        <v>115</v>
      </c>
      <c r="K71" s="236"/>
      <c r="L71" s="41" t="s">
        <v>55</v>
      </c>
      <c r="M71" s="497"/>
      <c r="N71" s="74"/>
      <c r="O71" s="176"/>
      <c r="P71" s="526">
        <f>P70+28</f>
        <v>46467</v>
      </c>
      <c r="Q71" s="451">
        <f t="shared" ref="Q71:Q72" si="21">Q70+28</f>
        <v>46495</v>
      </c>
      <c r="R71" s="452">
        <f t="shared" si="17"/>
        <v>46572</v>
      </c>
      <c r="S71" s="26"/>
      <c r="T71" s="453">
        <f t="shared" si="20"/>
        <v>46614</v>
      </c>
      <c r="U71" s="354"/>
      <c r="V71" s="259"/>
      <c r="W71" s="75" t="s">
        <v>730</v>
      </c>
      <c r="X71" s="456"/>
      <c r="Y71" s="456"/>
      <c r="Z71" s="456"/>
      <c r="AA71" s="456"/>
      <c r="AB71" s="456"/>
      <c r="AC71" s="456"/>
      <c r="AD71" s="456"/>
      <c r="AE71" s="456"/>
      <c r="AF71" s="456"/>
      <c r="AG71" s="456"/>
      <c r="AH71" s="456"/>
      <c r="AI71" s="456"/>
      <c r="AJ71" s="457"/>
      <c r="AK71" s="457"/>
      <c r="AL71" s="456"/>
      <c r="AM71" s="456"/>
      <c r="AN71" s="456"/>
      <c r="AO71" s="456"/>
      <c r="AP71" s="456"/>
      <c r="AQ71" s="456"/>
      <c r="AR71" s="456"/>
      <c r="AS71" s="456"/>
      <c r="AT71" s="456"/>
      <c r="AU71" s="456"/>
      <c r="AV71" s="456"/>
      <c r="AW71" s="456"/>
      <c r="AX71" s="456"/>
      <c r="AY71" s="456"/>
      <c r="AZ71" s="456"/>
      <c r="BA71" s="456"/>
      <c r="BB71" s="456"/>
      <c r="BC71" s="456"/>
      <c r="BD71" s="456"/>
      <c r="BE71" s="456"/>
      <c r="BF71" s="456"/>
      <c r="BG71" s="456"/>
      <c r="BH71" s="456"/>
      <c r="BI71" s="456"/>
      <c r="BJ71" s="456"/>
      <c r="BK71" s="456"/>
      <c r="BL71" s="456"/>
      <c r="BM71" s="456"/>
      <c r="BN71" s="456"/>
      <c r="BO71" s="456"/>
      <c r="BP71" s="456"/>
      <c r="BQ71" s="456"/>
      <c r="BR71" s="456"/>
      <c r="BS71" s="456"/>
      <c r="BT71" s="456"/>
      <c r="BU71" s="456"/>
      <c r="BV71" s="456"/>
      <c r="BW71" s="456"/>
      <c r="BX71" s="456"/>
      <c r="BY71" s="456"/>
      <c r="BZ71" s="456"/>
      <c r="CA71" s="456"/>
      <c r="CB71" s="456"/>
      <c r="CC71" s="456"/>
      <c r="CD71" s="456"/>
      <c r="CE71" s="456"/>
      <c r="CF71" s="456"/>
      <c r="CG71" s="456"/>
      <c r="CH71" s="456"/>
      <c r="CI71" s="456"/>
      <c r="CJ71" s="456"/>
      <c r="CK71" s="456"/>
      <c r="CL71" s="456"/>
      <c r="CM71" s="457"/>
      <c r="CN71" s="457"/>
      <c r="CO71" s="456"/>
      <c r="CP71" s="456"/>
      <c r="CQ71" s="456"/>
      <c r="CR71" s="456"/>
      <c r="CS71" s="456"/>
      <c r="CT71" s="456"/>
      <c r="CU71" s="456"/>
      <c r="CV71" s="456"/>
      <c r="CW71" s="456"/>
      <c r="CX71" s="457"/>
      <c r="CY71" s="456"/>
      <c r="CZ71" s="456"/>
      <c r="DA71" s="456"/>
      <c r="DB71" s="456"/>
      <c r="DC71" s="456"/>
      <c r="DD71" s="456"/>
      <c r="DE71" s="456"/>
      <c r="DF71" s="456"/>
      <c r="DG71" s="456"/>
      <c r="DH71" s="456"/>
      <c r="DI71" s="456"/>
      <c r="DJ71" s="456"/>
      <c r="DK71" s="456"/>
      <c r="DL71" s="456"/>
      <c r="DM71" s="456"/>
      <c r="DN71" s="456"/>
      <c r="DO71" s="456"/>
      <c r="DP71" s="456"/>
      <c r="DQ71" s="456"/>
      <c r="DR71" s="456"/>
      <c r="DS71" s="456"/>
      <c r="DT71" s="456"/>
      <c r="DU71" s="456"/>
      <c r="DV71" s="456"/>
      <c r="DW71" s="456"/>
      <c r="DX71" s="456"/>
      <c r="DY71" s="456"/>
      <c r="DZ71" s="456"/>
      <c r="EA71" s="456"/>
      <c r="EB71" s="456"/>
      <c r="EC71" s="456"/>
      <c r="ED71" s="465"/>
      <c r="EE71" s="465"/>
      <c r="EF71" s="465"/>
      <c r="EG71" s="465"/>
      <c r="EH71" s="465"/>
      <c r="EI71" s="465"/>
      <c r="EJ71" s="465"/>
      <c r="EK71" s="465"/>
      <c r="EL71" s="457"/>
      <c r="EM71" s="457"/>
      <c r="EN71" s="456"/>
      <c r="EO71" s="456"/>
      <c r="EP71" s="456"/>
      <c r="EQ71" s="456"/>
      <c r="ER71" s="505"/>
      <c r="ES71" s="505"/>
      <c r="ET71" s="505"/>
      <c r="EU71" s="505"/>
      <c r="EV71" s="506" t="s">
        <v>87</v>
      </c>
      <c r="EW71" s="506"/>
      <c r="EX71" s="506"/>
      <c r="EY71" s="506"/>
      <c r="EZ71" s="507" t="s">
        <v>81</v>
      </c>
      <c r="FA71" s="507"/>
      <c r="FB71" s="507"/>
      <c r="FC71" s="507"/>
      <c r="FD71" s="471" t="s">
        <v>77</v>
      </c>
      <c r="FE71" s="471"/>
      <c r="FF71" s="471"/>
      <c r="FG71" s="471"/>
      <c r="FH71" s="473" t="s">
        <v>66</v>
      </c>
      <c r="FI71" s="473"/>
      <c r="FJ71" s="473"/>
      <c r="FK71" s="473"/>
      <c r="FL71" s="4" t="s">
        <v>67</v>
      </c>
      <c r="FM71" s="4"/>
      <c r="FN71" s="456"/>
      <c r="FO71" s="456"/>
      <c r="FP71" s="456"/>
      <c r="FQ71" s="456"/>
      <c r="FR71" s="456"/>
      <c r="FS71" s="456"/>
      <c r="FT71" s="456"/>
      <c r="FU71" s="456"/>
      <c r="FV71" s="456"/>
      <c r="FW71" s="456"/>
      <c r="FX71" s="456"/>
      <c r="FY71" s="456"/>
      <c r="FZ71" s="456"/>
      <c r="GA71" s="456"/>
      <c r="GB71" s="456"/>
      <c r="GC71" s="456"/>
      <c r="GD71" s="456"/>
      <c r="GE71" s="456"/>
      <c r="GF71" s="456"/>
      <c r="GG71" s="456"/>
      <c r="GH71" s="456"/>
      <c r="GI71" s="456"/>
      <c r="GJ71" s="457"/>
      <c r="GK71" s="457"/>
      <c r="GL71" s="459"/>
      <c r="GM71" s="456"/>
      <c r="GN71" s="456"/>
      <c r="GO71" s="527"/>
      <c r="GP71" s="456"/>
      <c r="GQ71" s="456"/>
      <c r="GR71" s="456"/>
      <c r="GS71" s="456"/>
      <c r="GT71" s="456"/>
      <c r="GU71" s="456"/>
      <c r="GV71" s="456"/>
      <c r="GW71" s="456"/>
      <c r="GX71" s="456"/>
      <c r="GY71" s="456"/>
      <c r="GZ71" s="456"/>
      <c r="HA71" s="456"/>
      <c r="HB71" s="456"/>
      <c r="HC71" s="456"/>
      <c r="HD71" s="456"/>
      <c r="HE71" s="456"/>
      <c r="HF71" s="456"/>
      <c r="HG71" s="456"/>
      <c r="HH71" s="456"/>
      <c r="HI71" s="456"/>
      <c r="HJ71" s="456"/>
      <c r="HK71" s="456"/>
      <c r="HL71" s="456"/>
      <c r="HM71" s="456"/>
      <c r="HN71" s="456"/>
      <c r="HO71" s="456"/>
      <c r="HP71" s="456"/>
      <c r="HQ71" s="456"/>
      <c r="HR71" s="456"/>
      <c r="HS71" s="456"/>
      <c r="HT71" s="456"/>
      <c r="HU71" s="456"/>
      <c r="HV71" s="456"/>
      <c r="HW71" s="456"/>
      <c r="HX71" s="456"/>
      <c r="HY71" s="456"/>
      <c r="HZ71" s="456"/>
      <c r="IA71" s="456"/>
      <c r="IB71" s="456"/>
      <c r="IC71" s="456"/>
      <c r="ID71" s="456"/>
      <c r="IE71" s="456"/>
      <c r="IF71" s="456"/>
      <c r="IG71" s="456"/>
      <c r="IH71" s="456"/>
      <c r="II71" s="456"/>
      <c r="IJ71" s="456"/>
      <c r="IK71" s="456"/>
      <c r="IL71" s="456"/>
      <c r="IM71" s="456"/>
      <c r="IN71" s="457"/>
      <c r="IO71" s="457"/>
      <c r="IP71" s="456"/>
      <c r="IQ71" s="456"/>
      <c r="IR71" s="456"/>
      <c r="IS71" s="456"/>
      <c r="IT71" s="456"/>
      <c r="IU71" s="456"/>
      <c r="IV71" s="456"/>
      <c r="IW71" s="456"/>
      <c r="IX71" s="456"/>
      <c r="IY71" s="456"/>
      <c r="IZ71" s="456"/>
      <c r="JA71" s="456"/>
      <c r="JB71" s="456"/>
      <c r="JC71" s="456"/>
      <c r="JD71" s="456"/>
      <c r="JE71" s="456"/>
      <c r="JF71" s="456"/>
      <c r="JG71" s="456"/>
      <c r="JH71" s="456"/>
      <c r="JI71" s="456"/>
      <c r="JJ71" s="456"/>
      <c r="JK71" s="456"/>
      <c r="JL71" s="456"/>
      <c r="JM71" s="456"/>
      <c r="JN71" s="456"/>
      <c r="JO71" s="456"/>
      <c r="JP71" s="456"/>
      <c r="JQ71" s="456"/>
      <c r="JR71" s="456"/>
      <c r="JS71" s="456"/>
      <c r="JT71" s="456"/>
      <c r="JU71" s="456"/>
      <c r="JV71" s="456"/>
      <c r="JW71" s="456"/>
      <c r="JX71" s="456"/>
      <c r="JY71" s="456"/>
      <c r="JZ71" s="456"/>
      <c r="KA71" s="456"/>
      <c r="KB71" s="456"/>
      <c r="KC71" s="456"/>
      <c r="KD71" s="456"/>
      <c r="KE71" s="456"/>
      <c r="KF71" s="456"/>
    </row>
    <row r="72" spans="1:292" ht="70" customHeight="1">
      <c r="A72" s="170" t="s">
        <v>433</v>
      </c>
      <c r="B72" s="334"/>
      <c r="C72" s="334"/>
      <c r="D72" s="334"/>
      <c r="E72" s="334"/>
      <c r="F72" s="331" t="s">
        <v>113</v>
      </c>
      <c r="G72" s="350" t="s">
        <v>709</v>
      </c>
      <c r="H72" s="350"/>
      <c r="I72" s="577" t="s">
        <v>725</v>
      </c>
      <c r="J72" s="150" t="s">
        <v>711</v>
      </c>
      <c r="K72" s="236"/>
      <c r="L72" s="41" t="s">
        <v>55</v>
      </c>
      <c r="M72" s="497"/>
      <c r="N72" s="74"/>
      <c r="O72" s="176">
        <v>46642</v>
      </c>
      <c r="P72" s="526">
        <f>P71+28</f>
        <v>46495</v>
      </c>
      <c r="Q72" s="451">
        <f t="shared" si="21"/>
        <v>46523</v>
      </c>
      <c r="R72" s="452">
        <f t="shared" si="17"/>
        <v>46600</v>
      </c>
      <c r="S72" s="26"/>
      <c r="T72" s="453">
        <f t="shared" si="20"/>
        <v>46642</v>
      </c>
      <c r="U72" s="354"/>
      <c r="V72" s="259"/>
      <c r="W72" s="75" t="s">
        <v>730</v>
      </c>
      <c r="X72" s="456"/>
      <c r="Y72" s="456"/>
      <c r="Z72" s="456"/>
      <c r="AA72" s="456"/>
      <c r="AB72" s="456"/>
      <c r="AC72" s="456"/>
      <c r="AD72" s="456"/>
      <c r="AE72" s="456"/>
      <c r="AF72" s="456"/>
      <c r="AG72" s="456"/>
      <c r="AH72" s="456"/>
      <c r="AI72" s="456"/>
      <c r="AJ72" s="457"/>
      <c r="AK72" s="457"/>
      <c r="AL72" s="456"/>
      <c r="AM72" s="456"/>
      <c r="AN72" s="456"/>
      <c r="AO72" s="456"/>
      <c r="AP72" s="456"/>
      <c r="AQ72" s="456"/>
      <c r="AR72" s="456"/>
      <c r="AS72" s="456"/>
      <c r="AT72" s="456"/>
      <c r="AU72" s="456"/>
      <c r="AV72" s="456"/>
      <c r="AW72" s="456"/>
      <c r="AX72" s="456"/>
      <c r="AY72" s="456"/>
      <c r="AZ72" s="456"/>
      <c r="BA72" s="456"/>
      <c r="BB72" s="456"/>
      <c r="BC72" s="456"/>
      <c r="BD72" s="456"/>
      <c r="BE72" s="456"/>
      <c r="BF72" s="456"/>
      <c r="BG72" s="456"/>
      <c r="BH72" s="456"/>
      <c r="BI72" s="456"/>
      <c r="BJ72" s="456"/>
      <c r="BK72" s="456"/>
      <c r="BL72" s="456"/>
      <c r="BM72" s="456"/>
      <c r="BN72" s="456"/>
      <c r="BO72" s="456"/>
      <c r="BP72" s="456"/>
      <c r="BQ72" s="456"/>
      <c r="BR72" s="456"/>
      <c r="BS72" s="456"/>
      <c r="BT72" s="456"/>
      <c r="BU72" s="456"/>
      <c r="BV72" s="456"/>
      <c r="BW72" s="456"/>
      <c r="BX72" s="456"/>
      <c r="BY72" s="456"/>
      <c r="BZ72" s="456"/>
      <c r="CA72" s="456"/>
      <c r="CB72" s="456"/>
      <c r="CC72" s="456"/>
      <c r="CD72" s="456"/>
      <c r="CE72" s="456"/>
      <c r="CF72" s="456"/>
      <c r="CG72" s="456"/>
      <c r="CH72" s="456"/>
      <c r="CI72" s="456"/>
      <c r="CJ72" s="456"/>
      <c r="CK72" s="456"/>
      <c r="CL72" s="456"/>
      <c r="CM72" s="457"/>
      <c r="CN72" s="457"/>
      <c r="CO72" s="456"/>
      <c r="CP72" s="456"/>
      <c r="CQ72" s="456"/>
      <c r="CR72" s="456"/>
      <c r="CS72" s="456"/>
      <c r="CT72" s="456"/>
      <c r="CU72" s="456"/>
      <c r="CV72" s="456"/>
      <c r="CW72" s="456"/>
      <c r="CX72" s="457"/>
      <c r="CY72" s="456"/>
      <c r="CZ72" s="456"/>
      <c r="DA72" s="456"/>
      <c r="DB72" s="456"/>
      <c r="DC72" s="456"/>
      <c r="DD72" s="456"/>
      <c r="DE72" s="456"/>
      <c r="DF72" s="456"/>
      <c r="DG72" s="456"/>
      <c r="DH72" s="456"/>
      <c r="DI72" s="456"/>
      <c r="DJ72" s="456"/>
      <c r="DK72" s="456"/>
      <c r="DL72" s="456"/>
      <c r="DM72" s="456"/>
      <c r="DN72" s="456"/>
      <c r="DO72" s="456"/>
      <c r="DP72" s="456"/>
      <c r="DQ72" s="456"/>
      <c r="DR72" s="456"/>
      <c r="DS72" s="456"/>
      <c r="DT72" s="456"/>
      <c r="DU72" s="456"/>
      <c r="DV72" s="456"/>
      <c r="DW72" s="456"/>
      <c r="DX72" s="456"/>
      <c r="DY72" s="456"/>
      <c r="DZ72" s="456"/>
      <c r="EA72" s="456"/>
      <c r="EB72" s="456"/>
      <c r="EC72" s="456"/>
      <c r="ED72" s="465"/>
      <c r="EE72" s="465"/>
      <c r="EF72" s="465"/>
      <c r="EG72" s="465"/>
      <c r="EH72" s="465"/>
      <c r="EI72" s="465"/>
      <c r="EJ72" s="465"/>
      <c r="EK72" s="465"/>
      <c r="EL72" s="457"/>
      <c r="EM72" s="457"/>
      <c r="EN72" s="456"/>
      <c r="EO72" s="456"/>
      <c r="EP72" s="456"/>
      <c r="EQ72" s="456"/>
      <c r="ER72" s="456"/>
      <c r="ES72" s="456"/>
      <c r="ET72" s="456"/>
      <c r="EU72" s="456"/>
      <c r="EV72" s="505"/>
      <c r="EW72" s="505"/>
      <c r="EX72" s="505"/>
      <c r="EY72" s="505"/>
      <c r="EZ72" s="506" t="s">
        <v>87</v>
      </c>
      <c r="FA72" s="506"/>
      <c r="FB72" s="506"/>
      <c r="FC72" s="506"/>
      <c r="FD72" s="507" t="s">
        <v>81</v>
      </c>
      <c r="FE72" s="507"/>
      <c r="FF72" s="507"/>
      <c r="FG72" s="507"/>
      <c r="FH72" s="471" t="s">
        <v>77</v>
      </c>
      <c r="FI72" s="471"/>
      <c r="FJ72" s="471"/>
      <c r="FK72" s="471"/>
      <c r="FL72" s="473" t="s">
        <v>66</v>
      </c>
      <c r="FM72" s="473"/>
      <c r="FN72" s="473"/>
      <c r="FO72" s="473"/>
      <c r="FP72" s="4" t="s">
        <v>67</v>
      </c>
      <c r="FQ72" s="4"/>
      <c r="FR72" s="456"/>
      <c r="FS72" s="456"/>
      <c r="FT72" s="456"/>
      <c r="FU72" s="456"/>
      <c r="FV72" s="456"/>
      <c r="FW72" s="456"/>
      <c r="FX72" s="456"/>
      <c r="FY72" s="456"/>
      <c r="FZ72" s="456"/>
      <c r="GA72" s="456"/>
      <c r="GB72" s="456"/>
      <c r="GC72" s="456"/>
      <c r="GD72" s="456"/>
      <c r="GE72" s="456"/>
      <c r="GF72" s="456"/>
      <c r="GG72" s="456"/>
      <c r="GH72" s="456"/>
      <c r="GI72" s="456"/>
      <c r="GJ72" s="457"/>
      <c r="GK72" s="457"/>
      <c r="GL72" s="459"/>
      <c r="GM72" s="456"/>
      <c r="GN72" s="456"/>
      <c r="GO72" s="527"/>
      <c r="GP72" s="456"/>
      <c r="GQ72" s="456"/>
      <c r="GR72" s="456"/>
      <c r="GS72" s="456"/>
      <c r="GT72" s="456"/>
      <c r="GU72" s="456"/>
      <c r="GV72" s="456"/>
      <c r="GW72" s="456"/>
      <c r="GX72" s="456"/>
      <c r="GY72" s="456"/>
      <c r="GZ72" s="456"/>
      <c r="HA72" s="456"/>
      <c r="HB72" s="456"/>
      <c r="HC72" s="456"/>
      <c r="HD72" s="456"/>
      <c r="HE72" s="456"/>
      <c r="HF72" s="456"/>
      <c r="HG72" s="456"/>
      <c r="HH72" s="456"/>
      <c r="HI72" s="456"/>
      <c r="HJ72" s="456"/>
      <c r="HK72" s="456"/>
      <c r="HL72" s="456"/>
      <c r="HM72" s="456"/>
      <c r="HN72" s="456"/>
      <c r="HO72" s="456"/>
      <c r="HP72" s="456"/>
      <c r="HQ72" s="456"/>
      <c r="HR72" s="456"/>
      <c r="HS72" s="456"/>
      <c r="HT72" s="456"/>
      <c r="HU72" s="456"/>
      <c r="HV72" s="456"/>
      <c r="HW72" s="456"/>
      <c r="HX72" s="456"/>
      <c r="HY72" s="456"/>
      <c r="HZ72" s="456"/>
      <c r="IA72" s="456"/>
      <c r="IB72" s="456"/>
      <c r="IC72" s="456"/>
      <c r="ID72" s="456"/>
      <c r="IE72" s="456"/>
      <c r="IF72" s="456"/>
      <c r="IG72" s="456"/>
      <c r="IH72" s="456"/>
      <c r="II72" s="456"/>
      <c r="IJ72" s="456"/>
      <c r="IK72" s="456"/>
      <c r="IL72" s="456"/>
      <c r="IM72" s="456"/>
      <c r="IN72" s="457"/>
      <c r="IO72" s="457"/>
      <c r="IP72" s="456"/>
      <c r="IQ72" s="456"/>
      <c r="IR72" s="456"/>
      <c r="IS72" s="456"/>
      <c r="IT72" s="456"/>
      <c r="IU72" s="456"/>
      <c r="IV72" s="456"/>
      <c r="IW72" s="456"/>
      <c r="IX72" s="456"/>
      <c r="IY72" s="456"/>
      <c r="IZ72" s="456"/>
      <c r="JA72" s="456"/>
      <c r="JB72" s="456"/>
      <c r="JC72" s="456"/>
      <c r="JD72" s="456"/>
      <c r="JE72" s="456"/>
      <c r="JF72" s="456"/>
      <c r="JG72" s="456"/>
      <c r="JH72" s="456"/>
      <c r="JI72" s="456"/>
      <c r="JJ72" s="456"/>
      <c r="JK72" s="456"/>
      <c r="JL72" s="456"/>
      <c r="JM72" s="456"/>
      <c r="JN72" s="456"/>
      <c r="JO72" s="456"/>
      <c r="JP72" s="456"/>
      <c r="JQ72" s="456"/>
      <c r="JR72" s="456"/>
      <c r="JS72" s="456"/>
      <c r="JT72" s="456"/>
      <c r="JU72" s="456"/>
      <c r="JV72" s="456"/>
      <c r="JW72" s="456"/>
      <c r="JX72" s="456"/>
      <c r="JY72" s="456"/>
      <c r="JZ72" s="456"/>
      <c r="KA72" s="456"/>
      <c r="KB72" s="456"/>
      <c r="KC72" s="456"/>
      <c r="KD72" s="456"/>
      <c r="KE72" s="456"/>
      <c r="KF72" s="456"/>
    </row>
    <row r="73" spans="1:292" ht="70" customHeight="1">
      <c r="A73" s="358" t="s">
        <v>739</v>
      </c>
      <c r="B73" s="359"/>
      <c r="C73" s="359"/>
      <c r="D73" s="359"/>
      <c r="E73" s="359"/>
      <c r="F73" s="333"/>
      <c r="G73" s="221"/>
      <c r="H73" s="221"/>
      <c r="I73" s="221"/>
      <c r="J73" s="360"/>
      <c r="K73" s="242"/>
      <c r="L73" s="583"/>
      <c r="M73" s="583"/>
      <c r="N73" s="222"/>
      <c r="O73" s="223"/>
      <c r="P73" s="224"/>
      <c r="Q73" s="224"/>
      <c r="R73" s="224"/>
      <c r="S73" s="224"/>
      <c r="T73" s="524"/>
      <c r="U73" s="258"/>
      <c r="V73" s="258"/>
      <c r="W73" s="522"/>
      <c r="X73" s="525"/>
      <c r="Y73" s="525"/>
      <c r="Z73" s="525"/>
      <c r="AA73" s="525"/>
      <c r="AB73" s="525"/>
      <c r="AC73" s="525"/>
      <c r="AD73" s="525"/>
      <c r="AE73" s="525"/>
      <c r="AF73" s="525"/>
      <c r="AG73" s="525"/>
      <c r="AH73" s="525"/>
      <c r="AI73" s="525"/>
      <c r="AJ73" s="525"/>
      <c r="AK73" s="525"/>
      <c r="AL73" s="525"/>
      <c r="AM73" s="525"/>
      <c r="AN73" s="525"/>
      <c r="AO73" s="525"/>
      <c r="AP73" s="525"/>
      <c r="AQ73" s="525"/>
      <c r="AR73" s="525"/>
      <c r="AS73" s="525"/>
      <c r="AT73" s="525"/>
      <c r="AU73" s="525"/>
      <c r="AV73" s="525"/>
      <c r="AW73" s="525"/>
      <c r="AX73" s="525"/>
      <c r="AY73" s="525"/>
      <c r="AZ73" s="525"/>
      <c r="BA73" s="525"/>
      <c r="BB73" s="525"/>
      <c r="BC73" s="525"/>
      <c r="BD73" s="525"/>
      <c r="BE73" s="525"/>
      <c r="BF73" s="525"/>
      <c r="BG73" s="525"/>
      <c r="BH73" s="525"/>
      <c r="BI73" s="525"/>
      <c r="BJ73" s="525"/>
      <c r="BK73" s="525"/>
      <c r="BL73" s="525"/>
      <c r="BM73" s="525"/>
      <c r="BN73" s="525"/>
      <c r="BO73" s="525"/>
      <c r="BP73" s="525"/>
      <c r="BQ73" s="525"/>
      <c r="BR73" s="525"/>
      <c r="BS73" s="525"/>
      <c r="BT73" s="525"/>
      <c r="BU73" s="525"/>
      <c r="BV73" s="525"/>
      <c r="BW73" s="525"/>
      <c r="BX73" s="525"/>
      <c r="BY73" s="525"/>
      <c r="BZ73" s="525"/>
      <c r="CA73" s="525"/>
      <c r="CB73" s="525"/>
      <c r="CC73" s="525"/>
      <c r="CD73" s="525"/>
      <c r="CE73" s="525"/>
      <c r="CF73" s="525"/>
      <c r="CG73" s="525"/>
      <c r="CH73" s="525"/>
      <c r="CI73" s="525"/>
      <c r="CJ73" s="525"/>
      <c r="CK73" s="525"/>
      <c r="CL73" s="525"/>
      <c r="CM73" s="525"/>
      <c r="CN73" s="525"/>
      <c r="CO73" s="525"/>
      <c r="CP73" s="525"/>
      <c r="CQ73" s="525"/>
      <c r="CR73" s="525"/>
      <c r="CS73" s="525"/>
      <c r="CT73" s="525"/>
      <c r="CU73" s="525"/>
      <c r="CV73" s="525"/>
      <c r="CW73" s="525"/>
      <c r="CX73" s="525"/>
      <c r="CY73" s="525"/>
      <c r="CZ73" s="525"/>
      <c r="DA73" s="525"/>
      <c r="DB73" s="525"/>
      <c r="DC73" s="525"/>
      <c r="DD73" s="525"/>
      <c r="DE73" s="525"/>
      <c r="DF73" s="525"/>
      <c r="DG73" s="525"/>
      <c r="DH73" s="525"/>
      <c r="DI73" s="525"/>
      <c r="DJ73" s="525"/>
      <c r="DK73" s="525"/>
      <c r="DL73" s="525"/>
      <c r="DM73" s="525"/>
      <c r="DN73" s="525"/>
      <c r="DO73" s="525"/>
      <c r="DP73" s="525"/>
      <c r="DQ73" s="525"/>
      <c r="DR73" s="525"/>
      <c r="DS73" s="525"/>
      <c r="DT73" s="525"/>
      <c r="DU73" s="525"/>
      <c r="DV73" s="525"/>
      <c r="DW73" s="525"/>
      <c r="DX73" s="525"/>
      <c r="DY73" s="525"/>
      <c r="DZ73" s="525"/>
      <c r="EA73" s="525"/>
      <c r="EB73" s="525"/>
      <c r="EC73" s="525"/>
      <c r="ED73" s="525"/>
      <c r="EE73" s="525"/>
      <c r="EF73" s="525"/>
      <c r="EG73" s="525"/>
      <c r="EH73" s="525"/>
      <c r="EI73" s="525"/>
      <c r="EJ73" s="525"/>
      <c r="EK73" s="525"/>
      <c r="EL73" s="525"/>
      <c r="EM73" s="525"/>
      <c r="EN73" s="525"/>
      <c r="EO73" s="525"/>
      <c r="EP73" s="525"/>
      <c r="EQ73" s="525"/>
      <c r="ER73" s="525"/>
      <c r="ES73" s="525"/>
      <c r="ET73" s="525"/>
      <c r="EU73" s="525"/>
      <c r="EV73" s="525"/>
      <c r="EW73" s="525"/>
      <c r="EX73" s="525"/>
      <c r="EY73" s="525"/>
      <c r="EZ73" s="525"/>
      <c r="FA73" s="525"/>
      <c r="FB73" s="525"/>
      <c r="FC73" s="525"/>
      <c r="FD73" s="525"/>
      <c r="FE73" s="525"/>
      <c r="FF73" s="525"/>
      <c r="FG73" s="525"/>
      <c r="FH73" s="525"/>
      <c r="FI73" s="525"/>
      <c r="FJ73" s="525"/>
      <c r="FK73" s="525"/>
      <c r="FL73" s="525"/>
      <c r="FM73" s="525"/>
      <c r="FN73" s="525"/>
      <c r="FO73" s="525"/>
      <c r="FP73" s="525"/>
      <c r="FQ73" s="525"/>
      <c r="FR73" s="525"/>
      <c r="FS73" s="525"/>
      <c r="FT73" s="525"/>
      <c r="FU73" s="525"/>
      <c r="FV73" s="525"/>
      <c r="FW73" s="525"/>
      <c r="FX73" s="525"/>
      <c r="FY73" s="525"/>
      <c r="FZ73" s="525"/>
      <c r="GA73" s="525"/>
      <c r="GB73" s="525"/>
      <c r="GC73" s="525"/>
      <c r="GD73" s="525"/>
      <c r="GE73" s="525"/>
      <c r="GF73" s="525"/>
      <c r="GG73" s="525"/>
      <c r="GH73" s="525"/>
      <c r="GI73" s="525"/>
      <c r="GJ73" s="525"/>
      <c r="GK73" s="525"/>
      <c r="GL73" s="525"/>
      <c r="GM73" s="525"/>
      <c r="GN73" s="525"/>
      <c r="GO73" s="525"/>
      <c r="GP73" s="525"/>
      <c r="GQ73" s="525"/>
      <c r="GR73" s="525"/>
      <c r="GS73" s="525"/>
      <c r="GT73" s="525"/>
      <c r="GU73" s="525"/>
      <c r="GV73" s="525"/>
      <c r="GW73" s="525"/>
      <c r="GX73" s="525"/>
      <c r="GY73" s="525"/>
      <c r="GZ73" s="525"/>
      <c r="HA73" s="525"/>
      <c r="HB73" s="525"/>
      <c r="HC73" s="525"/>
      <c r="HD73" s="525"/>
      <c r="HE73" s="525"/>
      <c r="HF73" s="525"/>
    </row>
    <row r="74" spans="1:292" ht="70" hidden="1" customHeight="1">
      <c r="A74" s="170" t="s">
        <v>233</v>
      </c>
      <c r="B74" s="334">
        <v>16</v>
      </c>
      <c r="C74" s="334"/>
      <c r="D74" s="334"/>
      <c r="E74" s="334"/>
      <c r="F74" s="290">
        <v>44904</v>
      </c>
      <c r="G74" s="78" t="s">
        <v>234</v>
      </c>
      <c r="H74" s="78"/>
      <c r="I74" s="74" t="s">
        <v>174</v>
      </c>
      <c r="J74" s="74" t="s">
        <v>235</v>
      </c>
      <c r="K74" s="243" t="s">
        <v>33</v>
      </c>
      <c r="L74" s="584" t="s">
        <v>73</v>
      </c>
      <c r="M74" s="584"/>
      <c r="N74" s="137">
        <v>45090</v>
      </c>
      <c r="O74" s="57"/>
      <c r="P74" s="526">
        <v>45358</v>
      </c>
      <c r="Q74" s="452">
        <f t="shared" ref="Q74:Q80" si="22">P74+35</f>
        <v>45393</v>
      </c>
      <c r="R74" s="452">
        <f t="shared" ref="R74:R78" si="23">T74-110</f>
        <v>45495</v>
      </c>
      <c r="S74" s="58" t="s">
        <v>236</v>
      </c>
      <c r="T74" s="585">
        <v>45605</v>
      </c>
      <c r="U74" s="361">
        <f t="shared" ref="U74:U89" si="24">_xlfn.DAYS(T74,N74)</f>
        <v>515</v>
      </c>
      <c r="V74" s="266"/>
      <c r="W74" s="452" t="s">
        <v>237</v>
      </c>
      <c r="X74" s="3" t="s">
        <v>238</v>
      </c>
      <c r="Y74" s="3"/>
      <c r="Z74" s="586" t="s">
        <v>239</v>
      </c>
      <c r="AA74" s="587"/>
      <c r="AB74" s="587"/>
      <c r="AC74" s="588"/>
      <c r="AD74" s="516" t="s">
        <v>130</v>
      </c>
      <c r="AE74" s="589"/>
      <c r="AF74" s="465"/>
      <c r="AG74" s="465"/>
      <c r="AH74" s="7"/>
      <c r="AI74" s="465"/>
      <c r="AJ74" s="457"/>
      <c r="AK74" s="457"/>
      <c r="AL74" s="456"/>
      <c r="AM74" s="465"/>
      <c r="AN74" s="465"/>
      <c r="AO74" s="465"/>
      <c r="AP74" s="465"/>
      <c r="AQ74" s="465"/>
      <c r="AR74" s="465"/>
      <c r="AS74" s="456"/>
      <c r="AT74" s="465"/>
      <c r="AU74" s="456"/>
      <c r="AV74" s="465"/>
      <c r="AW74" s="465"/>
      <c r="AX74" s="465"/>
      <c r="AY74" s="465"/>
      <c r="AZ74" s="465"/>
      <c r="BA74" s="465"/>
      <c r="BB74" s="465"/>
      <c r="BC74" s="465"/>
      <c r="BD74" s="465"/>
      <c r="BE74" s="590"/>
      <c r="BF74" s="465"/>
      <c r="BG74" s="465"/>
      <c r="BH74" s="465"/>
      <c r="BI74" s="465"/>
      <c r="BJ74" s="465"/>
      <c r="BK74" s="465"/>
      <c r="BL74" s="465"/>
      <c r="BM74" s="465"/>
      <c r="BN74" s="465"/>
      <c r="BO74" s="465"/>
      <c r="BP74" s="465"/>
      <c r="BQ74" s="465"/>
      <c r="BR74" s="465"/>
      <c r="BS74" s="465"/>
      <c r="BT74" s="465"/>
      <c r="BU74" s="465"/>
      <c r="BV74" s="465"/>
      <c r="BW74" s="465"/>
      <c r="BX74" s="465"/>
      <c r="BY74" s="465"/>
      <c r="BZ74" s="590"/>
      <c r="CA74" s="465"/>
      <c r="CB74" s="465"/>
      <c r="CC74" s="590"/>
      <c r="CD74" s="465"/>
      <c r="CE74" s="465"/>
      <c r="CF74" s="465"/>
      <c r="CG74" s="465"/>
      <c r="CH74" s="465"/>
      <c r="CI74" s="465"/>
      <c r="CJ74" s="465"/>
      <c r="CK74" s="465"/>
      <c r="CL74" s="465"/>
      <c r="CM74" s="457"/>
      <c r="CN74" s="457"/>
      <c r="CO74" s="456"/>
      <c r="CP74" s="465"/>
      <c r="CQ74" s="465"/>
      <c r="CR74" s="465"/>
      <c r="CS74" s="465"/>
      <c r="CT74" s="465"/>
      <c r="CU74" s="465"/>
      <c r="CV74" s="465"/>
      <c r="CW74" s="465"/>
      <c r="CX74" s="465"/>
      <c r="CY74" s="465"/>
      <c r="CZ74" s="465"/>
      <c r="DA74" s="465"/>
      <c r="DB74" s="465"/>
      <c r="DC74" s="456"/>
      <c r="DD74" s="456"/>
      <c r="DE74" s="456"/>
      <c r="DF74" s="456"/>
      <c r="DG74" s="456"/>
      <c r="DH74" s="456"/>
      <c r="DI74" s="456"/>
      <c r="DJ74" s="456"/>
      <c r="DK74" s="456"/>
      <c r="DL74" s="456"/>
      <c r="DM74" s="456"/>
      <c r="DN74" s="456"/>
      <c r="DO74" s="456"/>
      <c r="DP74" s="456"/>
      <c r="DQ74" s="456"/>
      <c r="DR74" s="456"/>
      <c r="DS74" s="456"/>
      <c r="DT74" s="456"/>
      <c r="DU74" s="456"/>
      <c r="DV74" s="456"/>
      <c r="DW74" s="456"/>
      <c r="DX74" s="456"/>
      <c r="DY74" s="456"/>
      <c r="DZ74" s="456"/>
      <c r="EA74" s="456"/>
      <c r="EB74" s="456"/>
      <c r="EC74" s="456"/>
      <c r="ED74" s="456"/>
      <c r="EE74" s="456"/>
      <c r="EF74" s="456"/>
      <c r="EG74" s="456"/>
      <c r="EH74" s="456"/>
      <c r="EI74" s="456"/>
      <c r="EJ74" s="456"/>
      <c r="EK74" s="456"/>
      <c r="EL74" s="457"/>
      <c r="EM74" s="457"/>
      <c r="EN74" s="456"/>
      <c r="EO74" s="456"/>
      <c r="EP74" s="456"/>
      <c r="EQ74" s="456"/>
      <c r="ER74" s="456"/>
      <c r="ES74" s="456"/>
      <c r="ET74" s="456"/>
      <c r="EU74" s="456"/>
      <c r="EV74" s="456"/>
      <c r="EW74" s="456"/>
      <c r="EX74" s="456"/>
      <c r="EY74" s="456"/>
      <c r="EZ74" s="456"/>
      <c r="FA74" s="456"/>
      <c r="FB74" s="456"/>
      <c r="FC74" s="456"/>
      <c r="FD74" s="456"/>
      <c r="FE74" s="456"/>
      <c r="FF74" s="456"/>
      <c r="FG74" s="456"/>
    </row>
    <row r="75" spans="1:292" ht="70" hidden="1" customHeight="1">
      <c r="A75" s="170" t="s">
        <v>240</v>
      </c>
      <c r="B75" s="334">
        <v>17</v>
      </c>
      <c r="C75" s="334"/>
      <c r="D75" s="334"/>
      <c r="E75" s="334"/>
      <c r="F75" s="290">
        <v>45184</v>
      </c>
      <c r="G75" s="78" t="s">
        <v>234</v>
      </c>
      <c r="H75" s="78"/>
      <c r="I75" s="75" t="s">
        <v>162</v>
      </c>
      <c r="J75" s="74" t="s">
        <v>241</v>
      </c>
      <c r="K75" s="243" t="s">
        <v>33</v>
      </c>
      <c r="L75" s="528" t="s">
        <v>73</v>
      </c>
      <c r="M75" s="528"/>
      <c r="N75" s="138">
        <v>45120</v>
      </c>
      <c r="O75" s="57"/>
      <c r="P75" s="526">
        <v>45389</v>
      </c>
      <c r="Q75" s="452">
        <f t="shared" si="22"/>
        <v>45424</v>
      </c>
      <c r="R75" s="452">
        <f t="shared" si="23"/>
        <v>45516</v>
      </c>
      <c r="S75" s="58" t="s">
        <v>236</v>
      </c>
      <c r="T75" s="65">
        <v>45626</v>
      </c>
      <c r="U75" s="361">
        <f t="shared" si="24"/>
        <v>506</v>
      </c>
      <c r="V75" s="266"/>
      <c r="W75" s="452" t="s">
        <v>237</v>
      </c>
      <c r="X75" s="591" t="s">
        <v>242</v>
      </c>
      <c r="Y75" s="591"/>
      <c r="Z75" s="591"/>
      <c r="AA75" s="3" t="s">
        <v>238</v>
      </c>
      <c r="AB75" s="3" t="s">
        <v>243</v>
      </c>
      <c r="AC75" s="516" t="s">
        <v>130</v>
      </c>
      <c r="AD75" s="456"/>
      <c r="AE75" s="456"/>
      <c r="AF75" s="465"/>
      <c r="AG75" s="7"/>
      <c r="AH75" s="7"/>
      <c r="AI75" s="465"/>
      <c r="AJ75" s="457"/>
      <c r="AK75" s="457"/>
      <c r="AL75" s="456"/>
      <c r="AM75" s="465"/>
      <c r="AN75" s="7"/>
      <c r="AO75" s="465"/>
      <c r="AP75" s="465"/>
      <c r="AQ75" s="465"/>
      <c r="AR75" s="465"/>
      <c r="AS75" s="456"/>
      <c r="AT75" s="465"/>
      <c r="AU75" s="456"/>
      <c r="AV75" s="465"/>
      <c r="AW75" s="465"/>
      <c r="AX75" s="465"/>
      <c r="AY75" s="465"/>
      <c r="AZ75" s="465"/>
      <c r="BA75" s="465"/>
      <c r="BB75" s="465"/>
      <c r="BC75" s="465"/>
      <c r="BD75" s="465"/>
      <c r="BE75" s="465"/>
      <c r="BF75" s="465"/>
      <c r="BG75" s="465"/>
      <c r="BH75" s="465"/>
      <c r="BI75" s="465"/>
      <c r="BJ75" s="465"/>
      <c r="BK75" s="465"/>
      <c r="BL75" s="465"/>
      <c r="BM75" s="465"/>
      <c r="BN75" s="465"/>
      <c r="BO75" s="465"/>
      <c r="BP75" s="465"/>
      <c r="BQ75" s="465"/>
      <c r="BR75" s="465"/>
      <c r="BS75" s="465"/>
      <c r="BT75" s="465"/>
      <c r="BU75" s="465"/>
      <c r="BV75" s="465"/>
      <c r="BW75" s="465"/>
      <c r="BX75" s="465"/>
      <c r="BY75" s="465"/>
      <c r="BZ75" s="465"/>
      <c r="CA75" s="465"/>
      <c r="CB75" s="465"/>
      <c r="CC75" s="465"/>
      <c r="CD75" s="590"/>
      <c r="CE75" s="465"/>
    </row>
    <row r="76" spans="1:292" ht="70" hidden="1" customHeight="1">
      <c r="A76" s="170" t="s">
        <v>244</v>
      </c>
      <c r="B76" s="334">
        <v>18</v>
      </c>
      <c r="C76" s="334"/>
      <c r="D76" s="334"/>
      <c r="E76" s="334"/>
      <c r="F76" s="290">
        <v>44904</v>
      </c>
      <c r="G76" s="78" t="s">
        <v>234</v>
      </c>
      <c r="H76" s="78"/>
      <c r="I76" s="75" t="s">
        <v>245</v>
      </c>
      <c r="J76" s="74" t="s">
        <v>246</v>
      </c>
      <c r="K76" s="243" t="s">
        <v>33</v>
      </c>
      <c r="L76" s="529" t="s">
        <v>34</v>
      </c>
      <c r="M76" s="529"/>
      <c r="N76" s="138">
        <v>45150</v>
      </c>
      <c r="O76" s="57"/>
      <c r="P76" s="526">
        <v>45409</v>
      </c>
      <c r="Q76" s="452">
        <f t="shared" si="22"/>
        <v>45444</v>
      </c>
      <c r="R76" s="452">
        <f t="shared" si="23"/>
        <v>45534</v>
      </c>
      <c r="S76" s="58" t="s">
        <v>236</v>
      </c>
      <c r="T76" s="585">
        <v>45644</v>
      </c>
      <c r="U76" s="361">
        <f t="shared" si="24"/>
        <v>494</v>
      </c>
      <c r="V76" s="266"/>
      <c r="W76" s="452" t="s">
        <v>237</v>
      </c>
      <c r="X76" s="592" t="s">
        <v>247</v>
      </c>
      <c r="Y76" s="592"/>
      <c r="Z76" s="592"/>
      <c r="AA76" s="591" t="s">
        <v>242</v>
      </c>
      <c r="AB76" s="591"/>
      <c r="AC76" s="591"/>
      <c r="AD76" s="591"/>
      <c r="AE76" s="3" t="s">
        <v>238</v>
      </c>
      <c r="AF76" s="3" t="s">
        <v>243</v>
      </c>
      <c r="AG76" s="589"/>
      <c r="AH76" s="456"/>
      <c r="AI76" s="456"/>
      <c r="AJ76" s="457"/>
      <c r="AK76" s="457"/>
      <c r="AL76" s="456"/>
      <c r="AM76" s="7"/>
      <c r="AN76" s="7"/>
      <c r="AO76" s="465"/>
      <c r="AP76" s="465"/>
      <c r="AQ76" s="465"/>
      <c r="AR76" s="465"/>
      <c r="AS76" s="465"/>
      <c r="AT76" s="465"/>
      <c r="AU76" s="465"/>
      <c r="AV76" s="465"/>
      <c r="AW76" s="465"/>
      <c r="AX76" s="465"/>
      <c r="AY76" s="465"/>
      <c r="AZ76" s="465"/>
      <c r="BA76" s="456"/>
      <c r="BB76" s="465"/>
      <c r="BC76" s="465"/>
      <c r="BD76" s="465"/>
      <c r="BE76" s="465"/>
      <c r="BF76" s="465"/>
      <c r="BG76" s="456"/>
      <c r="BH76" s="456"/>
      <c r="BI76" s="456"/>
      <c r="BJ76" s="456"/>
      <c r="BK76" s="456"/>
      <c r="BL76" s="456"/>
      <c r="BM76" s="456"/>
      <c r="BN76" s="456"/>
      <c r="BO76" s="456"/>
      <c r="BP76" s="456"/>
      <c r="BQ76" s="456"/>
      <c r="BR76" s="456"/>
      <c r="BS76" s="456"/>
      <c r="BT76" s="456"/>
      <c r="BU76" s="456"/>
      <c r="BV76" s="456"/>
      <c r="BW76" s="456"/>
      <c r="BX76" s="456"/>
      <c r="BY76" s="456"/>
      <c r="BZ76" s="456"/>
      <c r="CA76" s="456"/>
      <c r="CB76" s="456"/>
      <c r="CC76" s="456"/>
      <c r="CD76" s="456"/>
      <c r="CE76" s="456"/>
    </row>
    <row r="77" spans="1:292" ht="70" hidden="1" customHeight="1">
      <c r="A77" s="170" t="s">
        <v>248</v>
      </c>
      <c r="B77" s="334">
        <v>19</v>
      </c>
      <c r="C77" s="334" t="s">
        <v>71</v>
      </c>
      <c r="D77" s="334">
        <v>3056</v>
      </c>
      <c r="E77" s="334">
        <v>3979</v>
      </c>
      <c r="F77" s="290">
        <v>45236</v>
      </c>
      <c r="G77" s="78" t="s">
        <v>234</v>
      </c>
      <c r="H77" s="78"/>
      <c r="I77" s="75" t="s">
        <v>249</v>
      </c>
      <c r="J77" s="151" t="s">
        <v>250</v>
      </c>
      <c r="K77" s="243" t="s">
        <v>33</v>
      </c>
      <c r="L77" s="529" t="s">
        <v>34</v>
      </c>
      <c r="M77" s="529"/>
      <c r="N77" s="138">
        <v>45180</v>
      </c>
      <c r="O77" s="57">
        <v>45180</v>
      </c>
      <c r="P77" s="526">
        <v>45440</v>
      </c>
      <c r="Q77" s="452">
        <f t="shared" si="22"/>
        <v>45475</v>
      </c>
      <c r="R77" s="452">
        <f t="shared" si="23"/>
        <v>45565</v>
      </c>
      <c r="S77" s="58" t="s">
        <v>236</v>
      </c>
      <c r="T77" s="585">
        <v>45675</v>
      </c>
      <c r="U77" s="361">
        <f t="shared" si="24"/>
        <v>495</v>
      </c>
      <c r="V77" s="593" t="s">
        <v>251</v>
      </c>
      <c r="W77" s="217" t="s">
        <v>252</v>
      </c>
      <c r="X77" s="473" t="s">
        <v>66</v>
      </c>
      <c r="Y77" s="473"/>
      <c r="Z77" s="473"/>
      <c r="AA77" s="592" t="s">
        <v>247</v>
      </c>
      <c r="AB77" s="592" t="s">
        <v>253</v>
      </c>
      <c r="AC77" s="592"/>
      <c r="AD77" s="592"/>
      <c r="AE77" s="591" t="s">
        <v>242</v>
      </c>
      <c r="AF77" s="591"/>
      <c r="AG77" s="591"/>
      <c r="AH77" s="3" t="s">
        <v>238</v>
      </c>
      <c r="AI77" s="3" t="s">
        <v>243</v>
      </c>
      <c r="AJ77" s="457"/>
      <c r="AK77" s="457"/>
      <c r="AL77" s="456"/>
      <c r="AM77" s="465"/>
      <c r="AN77" s="465"/>
      <c r="AO77" s="7"/>
      <c r="AP77" s="7"/>
      <c r="AQ77" s="7"/>
      <c r="AR77" s="7"/>
      <c r="AS77" s="465"/>
      <c r="AT77" s="465"/>
      <c r="AU77" s="465"/>
      <c r="AV77" s="465"/>
      <c r="AW77" s="465"/>
      <c r="AX77" s="465"/>
      <c r="AY77" s="465"/>
      <c r="AZ77" s="465"/>
      <c r="BA77" s="465"/>
      <c r="BB77" s="465"/>
      <c r="BC77" s="465"/>
      <c r="BD77" s="465"/>
      <c r="BE77" s="465"/>
      <c r="BF77" s="465"/>
      <c r="BG77" s="465"/>
      <c r="BH77" s="465"/>
      <c r="BI77" s="465"/>
      <c r="BJ77" s="456"/>
      <c r="BK77" s="456"/>
      <c r="BL77" s="456"/>
      <c r="BM77" s="456"/>
      <c r="BN77" s="456"/>
      <c r="BO77" s="456"/>
      <c r="BP77" s="456"/>
      <c r="BQ77" s="456"/>
      <c r="BR77" s="456"/>
      <c r="BS77" s="456"/>
      <c r="BT77" s="456"/>
      <c r="BU77" s="456"/>
      <c r="BV77" s="456"/>
      <c r="BW77" s="456"/>
      <c r="BX77" s="456"/>
      <c r="BY77" s="456"/>
      <c r="BZ77" s="456"/>
      <c r="CA77" s="456"/>
      <c r="CB77" s="456"/>
      <c r="CC77" s="456"/>
      <c r="CD77" s="456"/>
      <c r="CE77" s="456"/>
    </row>
    <row r="78" spans="1:292" ht="70" hidden="1" customHeight="1">
      <c r="A78" s="170" t="s">
        <v>254</v>
      </c>
      <c r="B78" s="334">
        <v>20</v>
      </c>
      <c r="C78" s="334" t="s">
        <v>71</v>
      </c>
      <c r="D78" s="334">
        <v>3195</v>
      </c>
      <c r="E78" s="334">
        <v>3488</v>
      </c>
      <c r="F78" s="290">
        <v>44904</v>
      </c>
      <c r="G78" s="78" t="s">
        <v>234</v>
      </c>
      <c r="H78" s="78"/>
      <c r="I78" s="75" t="s">
        <v>43</v>
      </c>
      <c r="J78" s="74" t="s">
        <v>255</v>
      </c>
      <c r="K78" s="243" t="s">
        <v>33</v>
      </c>
      <c r="L78" s="594" t="s">
        <v>73</v>
      </c>
      <c r="M78" s="595"/>
      <c r="N78" s="139">
        <v>45210</v>
      </c>
      <c r="O78" s="59">
        <v>45210</v>
      </c>
      <c r="P78" s="526">
        <v>45470</v>
      </c>
      <c r="Q78" s="452">
        <f t="shared" si="22"/>
        <v>45505</v>
      </c>
      <c r="R78" s="452">
        <f t="shared" si="23"/>
        <v>45600</v>
      </c>
      <c r="S78" s="58" t="s">
        <v>236</v>
      </c>
      <c r="T78" s="585">
        <v>45710</v>
      </c>
      <c r="U78" s="280">
        <f t="shared" si="24"/>
        <v>500</v>
      </c>
      <c r="V78" s="530" t="s">
        <v>256</v>
      </c>
      <c r="W78" s="211"/>
      <c r="X78" s="471" t="s">
        <v>77</v>
      </c>
      <c r="Y78" s="471"/>
      <c r="Z78" s="21" t="s">
        <v>257</v>
      </c>
      <c r="AA78" s="473" t="s">
        <v>66</v>
      </c>
      <c r="AB78" s="473"/>
      <c r="AC78" s="473"/>
      <c r="AD78" s="473"/>
      <c r="AE78" s="592" t="s">
        <v>247</v>
      </c>
      <c r="AF78" s="592" t="s">
        <v>253</v>
      </c>
      <c r="AG78" s="592"/>
      <c r="AH78" s="591" t="s">
        <v>242</v>
      </c>
      <c r="AI78" s="591"/>
      <c r="AJ78" s="457"/>
      <c r="AK78" s="457"/>
      <c r="AL78" s="591"/>
      <c r="AM78" s="3" t="s">
        <v>238</v>
      </c>
      <c r="AN78" s="3" t="s">
        <v>243</v>
      </c>
      <c r="AO78" s="475" t="s">
        <v>69</v>
      </c>
      <c r="AP78" s="476"/>
      <c r="AQ78" s="476"/>
      <c r="AR78" s="476"/>
      <c r="AS78" s="476"/>
      <c r="AT78" s="476"/>
      <c r="AU78" s="477"/>
      <c r="AV78" s="516" t="s">
        <v>130</v>
      </c>
      <c r="AW78" s="465"/>
      <c r="AX78" s="465"/>
      <c r="AY78" s="465"/>
      <c r="AZ78" s="465"/>
      <c r="BA78" s="465"/>
      <c r="BB78" s="465"/>
      <c r="BC78" s="465"/>
      <c r="BD78" s="465"/>
      <c r="BE78" s="465"/>
      <c r="BF78" s="465"/>
      <c r="BG78" s="465"/>
      <c r="BH78" s="465"/>
      <c r="BI78" s="465"/>
      <c r="BJ78" s="456"/>
      <c r="BK78" s="456"/>
      <c r="BL78" s="456"/>
      <c r="BM78" s="456"/>
      <c r="BN78" s="456"/>
      <c r="BO78" s="456"/>
      <c r="BP78" s="456"/>
      <c r="BQ78" s="456"/>
      <c r="BR78" s="456"/>
      <c r="BS78" s="456"/>
      <c r="BT78" s="456"/>
      <c r="BU78" s="456"/>
      <c r="BV78" s="456"/>
      <c r="BW78" s="456"/>
      <c r="BX78" s="456"/>
      <c r="BY78" s="456"/>
      <c r="BZ78" s="456"/>
      <c r="CA78" s="456"/>
      <c r="CB78" s="456"/>
      <c r="CC78" s="456"/>
      <c r="CD78" s="456"/>
      <c r="CE78" s="456"/>
    </row>
    <row r="79" spans="1:292" ht="70" hidden="1" customHeight="1">
      <c r="A79" s="170" t="s">
        <v>258</v>
      </c>
      <c r="B79" s="334">
        <v>21</v>
      </c>
      <c r="C79" s="334" t="s">
        <v>71</v>
      </c>
      <c r="D79" s="334">
        <v>2697</v>
      </c>
      <c r="E79" s="334">
        <v>3186</v>
      </c>
      <c r="F79" s="335">
        <v>45351</v>
      </c>
      <c r="G79" s="78" t="s">
        <v>234</v>
      </c>
      <c r="H79" s="78"/>
      <c r="I79" s="76" t="s">
        <v>132</v>
      </c>
      <c r="J79" s="74" t="s">
        <v>259</v>
      </c>
      <c r="K79" s="243" t="s">
        <v>33</v>
      </c>
      <c r="L79" s="594" t="s">
        <v>73</v>
      </c>
      <c r="M79" s="595"/>
      <c r="N79" s="139">
        <v>45240</v>
      </c>
      <c r="O79" s="59">
        <v>45240</v>
      </c>
      <c r="P79" s="526">
        <v>45498</v>
      </c>
      <c r="Q79" s="452">
        <f t="shared" si="22"/>
        <v>45533</v>
      </c>
      <c r="R79" s="452">
        <f>T79-85</f>
        <v>45646</v>
      </c>
      <c r="S79" s="58" t="s">
        <v>236</v>
      </c>
      <c r="T79" s="585">
        <v>45731</v>
      </c>
      <c r="U79" s="280">
        <f t="shared" si="24"/>
        <v>491</v>
      </c>
      <c r="V79" s="500" t="s">
        <v>260</v>
      </c>
      <c r="W79" s="218" t="s">
        <v>146</v>
      </c>
      <c r="X79" s="596" t="s">
        <v>261</v>
      </c>
      <c r="Y79" s="596"/>
      <c r="Z79" s="596"/>
      <c r="AA79" s="471" t="s">
        <v>77</v>
      </c>
      <c r="AB79" s="471"/>
      <c r="AC79" s="471"/>
      <c r="AD79" s="534" t="s">
        <v>31</v>
      </c>
      <c r="AE79" s="473" t="s">
        <v>66</v>
      </c>
      <c r="AF79" s="473"/>
      <c r="AG79" s="473"/>
      <c r="AH79" s="592" t="s">
        <v>247</v>
      </c>
      <c r="AI79" s="592"/>
      <c r="AJ79" s="457"/>
      <c r="AK79" s="457"/>
      <c r="AL79" s="592"/>
      <c r="AM79" s="591" t="s">
        <v>242</v>
      </c>
      <c r="AN79" s="591"/>
      <c r="AO79" s="591"/>
      <c r="AP79" s="3" t="s">
        <v>238</v>
      </c>
      <c r="AQ79" s="3" t="s">
        <v>243</v>
      </c>
      <c r="AR79" s="475" t="s">
        <v>69</v>
      </c>
      <c r="AS79" s="477"/>
      <c r="AT79" s="516" t="s">
        <v>130</v>
      </c>
      <c r="AU79" s="7"/>
      <c r="AV79" s="465"/>
      <c r="AW79" s="465"/>
      <c r="AX79" s="465"/>
      <c r="AY79" s="465"/>
      <c r="AZ79" s="465"/>
      <c r="BA79" s="465"/>
      <c r="BB79" s="465"/>
      <c r="BC79" s="465"/>
      <c r="BD79" s="465"/>
      <c r="BE79" s="465"/>
      <c r="BF79" s="465"/>
      <c r="BG79" s="465"/>
      <c r="BH79" s="465"/>
      <c r="BI79" s="465"/>
      <c r="BJ79" s="456"/>
      <c r="BK79" s="456"/>
      <c r="BL79" s="456"/>
      <c r="BM79" s="456"/>
      <c r="BN79" s="19"/>
      <c r="BO79" s="456"/>
      <c r="BP79" s="456"/>
      <c r="BQ79" s="456"/>
      <c r="BR79" s="456"/>
      <c r="BS79" s="456"/>
      <c r="BT79" s="456"/>
      <c r="BU79" s="456"/>
      <c r="BV79" s="456"/>
      <c r="BW79" s="456"/>
      <c r="BX79" s="456"/>
      <c r="BY79" s="456"/>
      <c r="BZ79" s="456"/>
      <c r="CA79" s="456"/>
      <c r="CB79" s="456"/>
      <c r="CC79" s="456"/>
      <c r="CD79" s="456"/>
      <c r="CE79" s="456"/>
    </row>
    <row r="80" spans="1:292" ht="70" hidden="1" customHeight="1">
      <c r="A80" s="170" t="s">
        <v>262</v>
      </c>
      <c r="B80" s="334">
        <v>22</v>
      </c>
      <c r="C80" s="334" t="s">
        <v>71</v>
      </c>
      <c r="D80" s="334">
        <v>2517</v>
      </c>
      <c r="E80" s="334">
        <v>2940</v>
      </c>
      <c r="F80" s="335">
        <v>45420</v>
      </c>
      <c r="G80" s="78" t="s">
        <v>234</v>
      </c>
      <c r="H80" s="78"/>
      <c r="I80" s="76" t="s">
        <v>162</v>
      </c>
      <c r="J80" s="152" t="s">
        <v>263</v>
      </c>
      <c r="K80" s="243" t="s">
        <v>33</v>
      </c>
      <c r="L80" s="594" t="s">
        <v>73</v>
      </c>
      <c r="M80" s="595"/>
      <c r="N80" s="139">
        <v>45300</v>
      </c>
      <c r="O80" s="59">
        <v>45300</v>
      </c>
      <c r="P80" s="526">
        <v>45518</v>
      </c>
      <c r="Q80" s="452">
        <f t="shared" si="22"/>
        <v>45553</v>
      </c>
      <c r="R80" s="452">
        <f t="shared" ref="R80:R84" si="25">T80-85</f>
        <v>45667</v>
      </c>
      <c r="S80" s="58" t="s">
        <v>236</v>
      </c>
      <c r="T80" s="585">
        <v>45752</v>
      </c>
      <c r="U80" s="280">
        <f t="shared" si="24"/>
        <v>452</v>
      </c>
      <c r="V80" s="597" t="s">
        <v>264</v>
      </c>
      <c r="W80" s="452" t="s">
        <v>146</v>
      </c>
      <c r="X80" s="598" t="s">
        <v>265</v>
      </c>
      <c r="Y80" s="599" t="s">
        <v>266</v>
      </c>
      <c r="Z80" s="598"/>
      <c r="AA80" s="596" t="s">
        <v>261</v>
      </c>
      <c r="AB80" s="596"/>
      <c r="AC80" s="596"/>
      <c r="AD80" s="596"/>
      <c r="AE80" s="471" t="s">
        <v>77</v>
      </c>
      <c r="AF80" s="471"/>
      <c r="AG80" s="21" t="s">
        <v>257</v>
      </c>
      <c r="AH80" s="473" t="s">
        <v>66</v>
      </c>
      <c r="AI80" s="473"/>
      <c r="AJ80" s="457"/>
      <c r="AK80" s="457"/>
      <c r="AL80" s="473"/>
      <c r="AM80" s="592" t="s">
        <v>247</v>
      </c>
      <c r="AN80" s="592"/>
      <c r="AO80" s="592"/>
      <c r="AP80" s="591" t="s">
        <v>242</v>
      </c>
      <c r="AQ80" s="591"/>
      <c r="AR80" s="591"/>
      <c r="AS80" s="3" t="s">
        <v>238</v>
      </c>
      <c r="AT80" s="3" t="s">
        <v>243</v>
      </c>
      <c r="AU80" s="475" t="s">
        <v>69</v>
      </c>
      <c r="AV80" s="476"/>
      <c r="AW80" s="476"/>
      <c r="AX80" s="477"/>
      <c r="AY80" s="516" t="s">
        <v>130</v>
      </c>
      <c r="AZ80" s="456"/>
      <c r="BA80" s="456"/>
      <c r="BB80" s="465"/>
      <c r="BC80" s="465"/>
      <c r="BD80" s="465"/>
      <c r="BE80" s="465"/>
      <c r="BF80" s="465"/>
      <c r="BG80" s="456"/>
      <c r="BH80" s="456"/>
      <c r="BI80" s="456"/>
      <c r="BJ80" s="456"/>
      <c r="BK80" s="456"/>
      <c r="BL80" s="456"/>
      <c r="BM80" s="456"/>
      <c r="BN80" s="15"/>
      <c r="BO80" s="456"/>
      <c r="BP80" s="456"/>
      <c r="BQ80" s="456"/>
      <c r="BR80" s="456"/>
      <c r="BS80" s="456"/>
      <c r="BT80" s="456"/>
      <c r="BU80" s="456"/>
      <c r="BV80" s="456"/>
      <c r="BW80" s="456"/>
      <c r="BX80" s="456"/>
      <c r="BY80" s="456"/>
      <c r="BZ80" s="456"/>
      <c r="CA80" s="456"/>
      <c r="CB80" s="456"/>
      <c r="CC80" s="456"/>
      <c r="CD80" s="456"/>
      <c r="CE80" s="456"/>
    </row>
    <row r="81" spans="1:292" ht="70" hidden="1" customHeight="1">
      <c r="A81" s="170" t="s">
        <v>267</v>
      </c>
      <c r="B81" s="334">
        <v>23</v>
      </c>
      <c r="C81" s="334" t="s">
        <v>71</v>
      </c>
      <c r="D81" s="334">
        <v>2737</v>
      </c>
      <c r="E81" s="334">
        <v>2461</v>
      </c>
      <c r="F81" s="335">
        <v>45394</v>
      </c>
      <c r="G81" s="78" t="s">
        <v>234</v>
      </c>
      <c r="H81" s="78"/>
      <c r="I81" s="76" t="s">
        <v>268</v>
      </c>
      <c r="J81" s="153" t="s">
        <v>269</v>
      </c>
      <c r="K81" s="244" t="s">
        <v>270</v>
      </c>
      <c r="L81" s="529" t="s">
        <v>34</v>
      </c>
      <c r="M81" s="529"/>
      <c r="N81" s="140">
        <v>45330</v>
      </c>
      <c r="O81" s="60">
        <v>45330</v>
      </c>
      <c r="P81" s="526">
        <v>45549</v>
      </c>
      <c r="Q81" s="452">
        <f>P81+70</f>
        <v>45619</v>
      </c>
      <c r="R81" s="452">
        <f t="shared" si="25"/>
        <v>45688</v>
      </c>
      <c r="S81" s="58" t="s">
        <v>236</v>
      </c>
      <c r="T81" s="585">
        <v>45773</v>
      </c>
      <c r="U81" s="280">
        <f t="shared" si="24"/>
        <v>443</v>
      </c>
      <c r="V81" s="530" t="s">
        <v>271</v>
      </c>
      <c r="W81" s="600" t="s">
        <v>735</v>
      </c>
      <c r="X81" s="601" t="s">
        <v>272</v>
      </c>
      <c r="Y81" s="601"/>
      <c r="Z81" s="602"/>
      <c r="AA81" s="598" t="s">
        <v>265</v>
      </c>
      <c r="AB81" s="599" t="s">
        <v>266</v>
      </c>
      <c r="AC81" s="598"/>
      <c r="AD81" s="598"/>
      <c r="AE81" s="596" t="s">
        <v>261</v>
      </c>
      <c r="AF81" s="596"/>
      <c r="AG81" s="596"/>
      <c r="AH81" s="471" t="s">
        <v>77</v>
      </c>
      <c r="AI81" s="471"/>
      <c r="AJ81" s="457"/>
      <c r="AK81" s="457"/>
      <c r="AL81" s="21" t="s">
        <v>257</v>
      </c>
      <c r="AM81" s="473"/>
      <c r="AN81" s="473" t="s">
        <v>66</v>
      </c>
      <c r="AO81" s="473"/>
      <c r="AP81" s="592" t="s">
        <v>247</v>
      </c>
      <c r="AQ81" s="592"/>
      <c r="AR81" s="592"/>
      <c r="AS81" s="591" t="s">
        <v>242</v>
      </c>
      <c r="AT81" s="591"/>
      <c r="AU81" s="591"/>
      <c r="AV81" s="3" t="s">
        <v>238</v>
      </c>
      <c r="AW81" s="3" t="s">
        <v>243</v>
      </c>
      <c r="AX81" s="475" t="s">
        <v>69</v>
      </c>
      <c r="AY81" s="477"/>
      <c r="AZ81" s="464" t="s">
        <v>273</v>
      </c>
      <c r="BA81" s="456"/>
      <c r="BB81" s="7"/>
      <c r="BC81" s="465"/>
      <c r="BD81" s="465"/>
      <c r="BE81" s="465"/>
      <c r="BF81" s="465"/>
      <c r="BG81" s="456"/>
      <c r="BH81" s="456"/>
      <c r="BI81" s="456"/>
      <c r="BJ81" s="456"/>
      <c r="BK81" s="456"/>
      <c r="BL81" s="456"/>
      <c r="BM81" s="456"/>
      <c r="BN81" s="15"/>
      <c r="BO81" s="456"/>
      <c r="BP81" s="456"/>
      <c r="BQ81" s="456"/>
      <c r="BR81" s="456"/>
      <c r="BS81" s="456"/>
      <c r="BT81" s="456"/>
      <c r="BU81" s="456"/>
      <c r="BV81" s="456"/>
      <c r="BW81" s="456"/>
      <c r="BX81" s="456"/>
      <c r="BY81" s="456"/>
      <c r="BZ81" s="456"/>
      <c r="CA81" s="456"/>
      <c r="CB81" s="456"/>
      <c r="CC81" s="456"/>
      <c r="CD81" s="456"/>
      <c r="CE81" s="456"/>
    </row>
    <row r="82" spans="1:292" ht="70" hidden="1" customHeight="1">
      <c r="A82" s="170" t="s">
        <v>274</v>
      </c>
      <c r="B82" s="334">
        <v>24</v>
      </c>
      <c r="C82" s="334" t="s">
        <v>71</v>
      </c>
      <c r="D82" s="334">
        <v>2003</v>
      </c>
      <c r="E82" s="334">
        <v>2097</v>
      </c>
      <c r="F82" s="335">
        <v>45428</v>
      </c>
      <c r="G82" s="78" t="s">
        <v>234</v>
      </c>
      <c r="H82" s="78"/>
      <c r="I82" s="76" t="s">
        <v>132</v>
      </c>
      <c r="J82" s="152" t="s">
        <v>275</v>
      </c>
      <c r="K82" s="244" t="s">
        <v>270</v>
      </c>
      <c r="L82" s="577" t="s">
        <v>34</v>
      </c>
      <c r="M82" s="497"/>
      <c r="N82" s="141">
        <v>45300</v>
      </c>
      <c r="O82" s="61">
        <v>45300</v>
      </c>
      <c r="P82" s="526">
        <v>45568</v>
      </c>
      <c r="Q82" s="452">
        <f>P82+70</f>
        <v>45638</v>
      </c>
      <c r="R82" s="452">
        <f t="shared" si="25"/>
        <v>45709</v>
      </c>
      <c r="S82" s="58" t="s">
        <v>236</v>
      </c>
      <c r="T82" s="585">
        <v>45794</v>
      </c>
      <c r="U82" s="280">
        <f t="shared" si="24"/>
        <v>494</v>
      </c>
      <c r="V82" s="530" t="s">
        <v>276</v>
      </c>
      <c r="W82" s="452" t="s">
        <v>146</v>
      </c>
      <c r="X82" s="603" t="s">
        <v>277</v>
      </c>
      <c r="Y82" s="603"/>
      <c r="Z82" s="603"/>
      <c r="AA82" s="601" t="s">
        <v>272</v>
      </c>
      <c r="AB82" s="601"/>
      <c r="AC82" s="602"/>
      <c r="AD82" s="601"/>
      <c r="AE82" s="598" t="s">
        <v>265</v>
      </c>
      <c r="AF82" s="598"/>
      <c r="AG82" s="598"/>
      <c r="AH82" s="596" t="s">
        <v>261</v>
      </c>
      <c r="AI82" s="596"/>
      <c r="AJ82" s="457"/>
      <c r="AK82" s="457"/>
      <c r="AL82" s="596"/>
      <c r="AM82" s="471" t="s">
        <v>77</v>
      </c>
      <c r="AN82" s="471"/>
      <c r="AO82" s="471"/>
      <c r="AP82" s="473" t="s">
        <v>66</v>
      </c>
      <c r="AQ82" s="473"/>
      <c r="AR82" s="473"/>
      <c r="AS82" s="592" t="s">
        <v>247</v>
      </c>
      <c r="AT82" s="592"/>
      <c r="AU82" s="592"/>
      <c r="AV82" s="591" t="s">
        <v>242</v>
      </c>
      <c r="AW82" s="591"/>
      <c r="AX82" s="591"/>
      <c r="AY82" s="3" t="s">
        <v>238</v>
      </c>
      <c r="AZ82" s="3" t="s">
        <v>243</v>
      </c>
      <c r="BA82" s="475" t="s">
        <v>69</v>
      </c>
      <c r="BB82" s="476"/>
      <c r="BC82" s="476"/>
      <c r="BD82" s="464" t="s">
        <v>273</v>
      </c>
      <c r="BE82" s="456"/>
      <c r="BF82" s="456"/>
      <c r="BG82" s="456"/>
      <c r="BH82" s="456"/>
      <c r="BI82" s="456"/>
      <c r="BJ82" s="456"/>
      <c r="BK82" s="456"/>
      <c r="BL82" s="456"/>
      <c r="BM82" s="456"/>
      <c r="BN82" s="15"/>
      <c r="BO82" s="456"/>
      <c r="BP82" s="456"/>
      <c r="BQ82" s="456"/>
      <c r="BR82" s="456"/>
      <c r="BS82" s="456"/>
      <c r="BT82" s="456"/>
      <c r="BU82" s="456"/>
      <c r="BV82" s="456"/>
      <c r="BW82" s="456"/>
      <c r="BX82" s="456"/>
      <c r="BY82" s="456"/>
      <c r="BZ82" s="456"/>
      <c r="CA82" s="456"/>
      <c r="CB82" s="456"/>
      <c r="CC82" s="456"/>
      <c r="CD82" s="456"/>
      <c r="CE82" s="456"/>
    </row>
    <row r="83" spans="1:292" ht="70" hidden="1" customHeight="1">
      <c r="A83" s="170" t="s">
        <v>278</v>
      </c>
      <c r="B83" s="334">
        <v>25</v>
      </c>
      <c r="C83" s="334" t="s">
        <v>71</v>
      </c>
      <c r="D83" s="334">
        <v>1517</v>
      </c>
      <c r="E83" s="334">
        <v>1724</v>
      </c>
      <c r="F83" s="335">
        <v>45491</v>
      </c>
      <c r="G83" s="78" t="s">
        <v>234</v>
      </c>
      <c r="H83" s="78"/>
      <c r="I83" s="66" t="s">
        <v>162</v>
      </c>
      <c r="J83" s="151" t="s">
        <v>279</v>
      </c>
      <c r="K83" s="244" t="s">
        <v>270</v>
      </c>
      <c r="L83" s="594" t="s">
        <v>73</v>
      </c>
      <c r="M83" s="497"/>
      <c r="N83" s="141">
        <v>45386</v>
      </c>
      <c r="O83" s="61">
        <v>45386</v>
      </c>
      <c r="P83" s="526">
        <v>45595</v>
      </c>
      <c r="Q83" s="452">
        <f>P83+70</f>
        <v>45665</v>
      </c>
      <c r="R83" s="452">
        <f t="shared" si="25"/>
        <v>45730</v>
      </c>
      <c r="S83" s="58" t="s">
        <v>236</v>
      </c>
      <c r="T83" s="585">
        <v>45815</v>
      </c>
      <c r="U83" s="280">
        <f t="shared" si="24"/>
        <v>429</v>
      </c>
      <c r="V83" s="530" t="s">
        <v>280</v>
      </c>
      <c r="W83" s="452" t="s">
        <v>146</v>
      </c>
      <c r="X83" s="505" t="s">
        <v>281</v>
      </c>
      <c r="Y83" s="505"/>
      <c r="Z83" s="505"/>
      <c r="AA83" s="603" t="s">
        <v>277</v>
      </c>
      <c r="AB83" s="603"/>
      <c r="AC83" s="603"/>
      <c r="AD83" s="603"/>
      <c r="AE83" s="601" t="s">
        <v>272</v>
      </c>
      <c r="AF83" s="601"/>
      <c r="AG83" s="602" t="s">
        <v>282</v>
      </c>
      <c r="AH83" s="598" t="s">
        <v>265</v>
      </c>
      <c r="AI83" s="598"/>
      <c r="AJ83" s="457"/>
      <c r="AK83" s="457"/>
      <c r="AL83" s="598"/>
      <c r="AM83" s="596" t="s">
        <v>261</v>
      </c>
      <c r="AN83" s="596"/>
      <c r="AO83" s="596"/>
      <c r="AP83" s="471" t="s">
        <v>77</v>
      </c>
      <c r="AQ83" s="471"/>
      <c r="AR83" s="471"/>
      <c r="AS83" s="473" t="s">
        <v>66</v>
      </c>
      <c r="AT83" s="473"/>
      <c r="AU83" s="473"/>
      <c r="AV83" s="592" t="s">
        <v>247</v>
      </c>
      <c r="AW83" s="592"/>
      <c r="AX83" s="592"/>
      <c r="AY83" s="591" t="s">
        <v>242</v>
      </c>
      <c r="AZ83" s="591"/>
      <c r="BA83" s="591"/>
      <c r="BB83" s="3" t="s">
        <v>238</v>
      </c>
      <c r="BC83" s="3" t="s">
        <v>243</v>
      </c>
      <c r="BD83" s="516" t="s">
        <v>130</v>
      </c>
      <c r="BE83" s="456"/>
      <c r="BF83" s="456"/>
      <c r="BG83" s="456"/>
      <c r="BH83" s="456"/>
      <c r="BI83" s="456"/>
      <c r="BJ83" s="456"/>
      <c r="BK83" s="456"/>
      <c r="BL83" s="456"/>
      <c r="BM83" s="456"/>
      <c r="BN83" s="15"/>
      <c r="BO83" s="456"/>
      <c r="BP83" s="456"/>
      <c r="BQ83" s="456"/>
      <c r="BR83" s="456"/>
      <c r="BS83" s="456"/>
      <c r="BT83" s="456"/>
      <c r="BU83" s="456"/>
      <c r="BV83" s="456"/>
      <c r="BW83" s="456"/>
      <c r="BX83" s="456"/>
      <c r="BY83" s="456"/>
      <c r="BZ83" s="456"/>
      <c r="CA83" s="456"/>
      <c r="CB83" s="456"/>
      <c r="CC83" s="456"/>
      <c r="CD83" s="458"/>
      <c r="CE83" s="458"/>
    </row>
    <row r="84" spans="1:292" ht="70" customHeight="1">
      <c r="A84" s="170" t="s">
        <v>283</v>
      </c>
      <c r="B84" s="334">
        <v>26</v>
      </c>
      <c r="C84" s="334" t="s">
        <v>71</v>
      </c>
      <c r="D84" s="334">
        <v>1354</v>
      </c>
      <c r="E84" s="334">
        <v>1484</v>
      </c>
      <c r="F84" s="335">
        <v>45478</v>
      </c>
      <c r="G84" s="78" t="s">
        <v>284</v>
      </c>
      <c r="H84" s="78"/>
      <c r="I84" s="41" t="s">
        <v>680</v>
      </c>
      <c r="J84" s="154" t="s">
        <v>285</v>
      </c>
      <c r="K84" s="244" t="s">
        <v>270</v>
      </c>
      <c r="L84" s="594" t="s">
        <v>73</v>
      </c>
      <c r="M84" s="497"/>
      <c r="N84" s="141">
        <v>45440</v>
      </c>
      <c r="O84" s="61">
        <v>45440</v>
      </c>
      <c r="P84" s="526">
        <v>45616</v>
      </c>
      <c r="Q84" s="452">
        <f>P84+70</f>
        <v>45686</v>
      </c>
      <c r="R84" s="452">
        <f t="shared" si="25"/>
        <v>45744</v>
      </c>
      <c r="S84" s="58" t="s">
        <v>236</v>
      </c>
      <c r="T84" s="585">
        <v>45829</v>
      </c>
      <c r="U84" s="280">
        <f t="shared" si="24"/>
        <v>389</v>
      </c>
      <c r="V84" s="267" t="s">
        <v>775</v>
      </c>
      <c r="W84" s="452" t="s">
        <v>731</v>
      </c>
      <c r="X84" s="465"/>
      <c r="Y84" s="465"/>
      <c r="Z84" s="465"/>
      <c r="AA84" s="505" t="s">
        <v>286</v>
      </c>
      <c r="AB84" s="505"/>
      <c r="AC84" s="505"/>
      <c r="AD84" s="505"/>
      <c r="AE84" s="603" t="s">
        <v>277</v>
      </c>
      <c r="AF84" s="603"/>
      <c r="AG84" s="603"/>
      <c r="AH84" s="601" t="s">
        <v>272</v>
      </c>
      <c r="AI84" s="601"/>
      <c r="AJ84" s="457"/>
      <c r="AK84" s="457"/>
      <c r="AL84" s="602" t="s">
        <v>282</v>
      </c>
      <c r="AM84" s="598" t="s">
        <v>265</v>
      </c>
      <c r="AN84" s="598"/>
      <c r="AO84" s="598"/>
      <c r="AP84" s="596" t="s">
        <v>261</v>
      </c>
      <c r="AQ84" s="596"/>
      <c r="AR84" s="596"/>
      <c r="AS84" s="471" t="s">
        <v>77</v>
      </c>
      <c r="AT84" s="471"/>
      <c r="AU84" s="471"/>
      <c r="AV84" s="473" t="s">
        <v>66</v>
      </c>
      <c r="AW84" s="473"/>
      <c r="AX84" s="473"/>
      <c r="AY84" s="592" t="s">
        <v>247</v>
      </c>
      <c r="AZ84" s="592"/>
      <c r="BA84" s="592"/>
      <c r="BB84" s="591" t="s">
        <v>242</v>
      </c>
      <c r="BC84" s="591"/>
      <c r="BD84" s="3" t="s">
        <v>238</v>
      </c>
      <c r="BE84" s="3" t="s">
        <v>243</v>
      </c>
      <c r="BF84" s="604" t="s">
        <v>287</v>
      </c>
      <c r="BG84" s="605"/>
      <c r="BH84" s="605"/>
      <c r="BI84" s="605"/>
      <c r="BJ84" s="605"/>
      <c r="BK84" s="605"/>
      <c r="BL84" s="605"/>
      <c r="BM84" s="605"/>
      <c r="BN84" s="605"/>
      <c r="BO84" s="605"/>
      <c r="BP84" s="605"/>
      <c r="BQ84" s="605"/>
      <c r="BR84" s="605"/>
      <c r="BS84" s="606"/>
      <c r="BT84" s="516" t="s">
        <v>130</v>
      </c>
      <c r="BU84" s="465"/>
      <c r="BV84" s="465"/>
      <c r="BW84" s="465"/>
      <c r="BX84" s="465"/>
      <c r="BY84" s="465"/>
      <c r="BZ84" s="465"/>
      <c r="CA84" s="465"/>
      <c r="CB84" s="456"/>
      <c r="CC84" s="465"/>
      <c r="CD84" s="465"/>
      <c r="CE84" s="465"/>
      <c r="CF84" s="456"/>
      <c r="CG84" s="456"/>
      <c r="CH84" s="456"/>
      <c r="CI84" s="456"/>
      <c r="CJ84" s="456"/>
      <c r="CK84" s="456"/>
      <c r="CL84" s="456"/>
      <c r="CM84" s="457"/>
      <c r="CN84" s="457"/>
      <c r="CO84" s="456"/>
      <c r="CP84" s="456"/>
      <c r="CQ84" s="456"/>
      <c r="CR84" s="456"/>
      <c r="CS84" s="456"/>
      <c r="CT84" s="456"/>
      <c r="CU84" s="456"/>
      <c r="CV84" s="456"/>
      <c r="CW84" s="456"/>
      <c r="CX84" s="457"/>
      <c r="CY84" s="456"/>
      <c r="CZ84" s="456"/>
      <c r="DA84" s="456"/>
      <c r="DB84" s="456"/>
      <c r="DC84" s="456"/>
      <c r="DD84" s="456"/>
      <c r="DE84" s="456"/>
      <c r="DF84" s="456"/>
      <c r="DG84" s="456"/>
      <c r="DH84" s="456"/>
      <c r="DI84" s="456"/>
      <c r="DJ84" s="456"/>
      <c r="DK84" s="456"/>
      <c r="DL84" s="456"/>
      <c r="DM84" s="456"/>
      <c r="DN84" s="456"/>
      <c r="DO84" s="456"/>
      <c r="DP84" s="456"/>
      <c r="DQ84" s="456"/>
      <c r="DR84" s="456"/>
      <c r="DS84" s="456"/>
      <c r="DT84" s="456"/>
      <c r="DU84" s="456"/>
      <c r="DV84" s="456"/>
      <c r="DW84" s="456"/>
      <c r="DX84" s="456"/>
      <c r="DY84" s="456"/>
      <c r="DZ84" s="456"/>
      <c r="EA84" s="456"/>
      <c r="EB84" s="456"/>
      <c r="EC84" s="456"/>
      <c r="ED84" s="456"/>
      <c r="EE84" s="456"/>
      <c r="EF84" s="456"/>
      <c r="EG84" s="456"/>
      <c r="EH84" s="456"/>
      <c r="EI84" s="456"/>
      <c r="EJ84" s="456"/>
      <c r="EK84" s="456"/>
      <c r="EL84" s="457"/>
      <c r="EM84" s="457"/>
      <c r="EN84" s="456"/>
      <c r="EO84" s="456"/>
      <c r="EP84" s="456"/>
      <c r="EQ84" s="456"/>
      <c r="ER84" s="456"/>
      <c r="ES84" s="456"/>
      <c r="ET84" s="456"/>
      <c r="EU84" s="456"/>
      <c r="EV84" s="456"/>
      <c r="EW84" s="456"/>
      <c r="EX84" s="456"/>
      <c r="EY84" s="456"/>
      <c r="EZ84" s="456"/>
      <c r="FA84" s="456"/>
      <c r="FB84" s="456"/>
      <c r="FC84" s="456"/>
      <c r="FD84" s="456"/>
      <c r="FE84" s="456"/>
      <c r="FF84" s="456"/>
      <c r="FG84" s="456"/>
      <c r="FH84" s="456"/>
      <c r="FI84" s="456"/>
      <c r="FJ84" s="456"/>
      <c r="FK84" s="456"/>
      <c r="FL84" s="456"/>
      <c r="FM84" s="456"/>
      <c r="FN84" s="456"/>
      <c r="FO84" s="456"/>
      <c r="FP84" s="456"/>
      <c r="FQ84" s="456"/>
      <c r="FR84" s="456"/>
      <c r="FS84" s="456"/>
      <c r="FT84" s="456"/>
      <c r="FU84" s="456"/>
      <c r="FV84" s="456"/>
      <c r="FW84" s="456"/>
      <c r="FX84" s="456"/>
      <c r="FY84" s="456"/>
      <c r="FZ84" s="456"/>
      <c r="GA84" s="456"/>
      <c r="GB84" s="456"/>
      <c r="GC84" s="456"/>
      <c r="GD84" s="456"/>
      <c r="GE84" s="456"/>
      <c r="GF84" s="456"/>
      <c r="GG84" s="456"/>
      <c r="GH84" s="456"/>
      <c r="GI84" s="456"/>
      <c r="GJ84" s="457"/>
      <c r="GK84" s="457"/>
      <c r="GL84" s="456"/>
      <c r="GM84" s="456"/>
      <c r="GN84" s="456"/>
      <c r="GO84" s="456"/>
      <c r="GP84" s="456"/>
      <c r="GQ84" s="456"/>
      <c r="GR84" s="456"/>
      <c r="GS84" s="456"/>
      <c r="GT84" s="456"/>
      <c r="GU84" s="456"/>
      <c r="GV84" s="456"/>
      <c r="GW84" s="456"/>
      <c r="GX84" s="456"/>
      <c r="GY84" s="456"/>
      <c r="GZ84" s="456"/>
      <c r="HA84" s="456"/>
      <c r="HB84" s="456"/>
      <c r="HC84" s="456"/>
      <c r="HD84" s="456"/>
      <c r="HE84" s="456"/>
      <c r="HF84" s="456"/>
      <c r="HG84" s="456"/>
      <c r="HH84" s="456"/>
      <c r="HI84" s="456"/>
      <c r="HJ84" s="456"/>
      <c r="HK84" s="456"/>
      <c r="HL84" s="456"/>
      <c r="HM84" s="456"/>
      <c r="HN84" s="456"/>
      <c r="HO84" s="456"/>
      <c r="HP84" s="465"/>
      <c r="HQ84" s="456"/>
      <c r="HR84" s="456"/>
      <c r="HS84" s="456"/>
      <c r="HT84" s="456"/>
      <c r="HU84" s="456"/>
      <c r="HV84" s="456"/>
      <c r="HW84" s="456"/>
      <c r="HX84" s="456"/>
      <c r="HY84" s="456"/>
      <c r="HZ84" s="456"/>
      <c r="IA84" s="456"/>
      <c r="IB84" s="456"/>
      <c r="IC84" s="456"/>
      <c r="ID84" s="456"/>
      <c r="IE84" s="456"/>
      <c r="IF84" s="456"/>
      <c r="IG84" s="456"/>
      <c r="IH84" s="456"/>
      <c r="II84" s="456"/>
      <c r="IJ84" s="456"/>
      <c r="IK84" s="456"/>
      <c r="IL84" s="456"/>
      <c r="IM84" s="456"/>
      <c r="IN84" s="457"/>
      <c r="IO84" s="457"/>
      <c r="IP84" s="456"/>
      <c r="IQ84" s="456"/>
      <c r="IR84" s="456"/>
      <c r="IS84" s="456"/>
      <c r="IT84" s="456"/>
      <c r="IU84" s="456"/>
      <c r="IV84" s="456"/>
      <c r="IW84" s="456"/>
      <c r="IX84" s="456"/>
      <c r="IY84" s="456"/>
      <c r="IZ84" s="456"/>
      <c r="JA84" s="456"/>
      <c r="JB84" s="456"/>
      <c r="JC84" s="456"/>
      <c r="JD84" s="456"/>
      <c r="JE84" s="456"/>
      <c r="JF84" s="456"/>
      <c r="JG84" s="456"/>
      <c r="JH84" s="456"/>
      <c r="JI84" s="456"/>
      <c r="JJ84" s="456"/>
      <c r="JK84" s="456"/>
      <c r="JL84" s="456"/>
      <c r="JM84" s="456"/>
      <c r="JN84" s="456"/>
      <c r="JO84" s="456"/>
      <c r="JP84" s="456"/>
      <c r="JQ84" s="456"/>
      <c r="JR84" s="456"/>
      <c r="JS84" s="456"/>
      <c r="JT84" s="456"/>
      <c r="JU84" s="456"/>
      <c r="JV84" s="456"/>
      <c r="JW84" s="456"/>
      <c r="JX84" s="456"/>
      <c r="JY84" s="456"/>
      <c r="JZ84" s="456"/>
      <c r="KA84" s="456"/>
      <c r="KB84" s="456"/>
      <c r="KC84" s="456"/>
      <c r="KD84" s="456"/>
      <c r="KE84" s="456"/>
      <c r="KF84" s="456"/>
    </row>
    <row r="85" spans="1:292" ht="70" hidden="1" customHeight="1">
      <c r="A85" s="170" t="s">
        <v>288</v>
      </c>
      <c r="B85" s="334">
        <v>27</v>
      </c>
      <c r="C85" s="334" t="s">
        <v>71</v>
      </c>
      <c r="D85" s="334">
        <v>1054</v>
      </c>
      <c r="E85" s="334">
        <v>1304</v>
      </c>
      <c r="F85" s="335">
        <v>45488</v>
      </c>
      <c r="G85" s="78" t="s">
        <v>289</v>
      </c>
      <c r="H85" s="78"/>
      <c r="I85" s="67" t="s">
        <v>132</v>
      </c>
      <c r="J85" s="150" t="s">
        <v>290</v>
      </c>
      <c r="K85" s="244" t="s">
        <v>270</v>
      </c>
      <c r="L85" s="528" t="s">
        <v>73</v>
      </c>
      <c r="M85" s="607"/>
      <c r="N85" s="141">
        <v>45471</v>
      </c>
      <c r="O85" s="61">
        <v>45471</v>
      </c>
      <c r="P85" s="526">
        <v>45645</v>
      </c>
      <c r="Q85" s="452">
        <f t="shared" ref="Q85:Q90" si="26">P85+56</f>
        <v>45701</v>
      </c>
      <c r="R85" s="452">
        <f t="shared" ref="R85:R95" si="27">T85-70</f>
        <v>45780</v>
      </c>
      <c r="S85" s="58" t="s">
        <v>236</v>
      </c>
      <c r="T85" s="585">
        <v>45850</v>
      </c>
      <c r="U85" s="280">
        <f t="shared" si="24"/>
        <v>379</v>
      </c>
      <c r="V85" s="267" t="s">
        <v>291</v>
      </c>
      <c r="W85" s="452" t="s">
        <v>146</v>
      </c>
      <c r="X85" s="465"/>
      <c r="Y85" s="465"/>
      <c r="Z85" s="465"/>
      <c r="AA85" s="465"/>
      <c r="AB85" s="465"/>
      <c r="AC85" s="465"/>
      <c r="AD85" s="465"/>
      <c r="AE85" s="505" t="s">
        <v>281</v>
      </c>
      <c r="AF85" s="505"/>
      <c r="AG85" s="505"/>
      <c r="AH85" s="603" t="s">
        <v>277</v>
      </c>
      <c r="AI85" s="603"/>
      <c r="AJ85" s="457"/>
      <c r="AK85" s="457"/>
      <c r="AL85" s="603"/>
      <c r="AM85" s="601" t="s">
        <v>272</v>
      </c>
      <c r="AN85" s="601"/>
      <c r="AO85" s="602" t="s">
        <v>282</v>
      </c>
      <c r="AP85" s="598" t="s">
        <v>265</v>
      </c>
      <c r="AQ85" s="598"/>
      <c r="AR85" s="598"/>
      <c r="AS85" s="596" t="s">
        <v>261</v>
      </c>
      <c r="AT85" s="596"/>
      <c r="AU85" s="596"/>
      <c r="AV85" s="471" t="s">
        <v>77</v>
      </c>
      <c r="AW85" s="471"/>
      <c r="AX85" s="471"/>
      <c r="AY85" s="473" t="s">
        <v>66</v>
      </c>
      <c r="AZ85" s="473"/>
      <c r="BA85" s="473"/>
      <c r="BB85" s="592" t="s">
        <v>247</v>
      </c>
      <c r="BC85" s="592"/>
      <c r="BD85" s="591" t="s">
        <v>242</v>
      </c>
      <c r="BE85" s="591"/>
      <c r="BF85" s="591"/>
      <c r="BG85" s="3" t="s">
        <v>238</v>
      </c>
      <c r="BH85" s="3" t="s">
        <v>243</v>
      </c>
      <c r="BI85" s="516" t="s">
        <v>130</v>
      </c>
      <c r="BJ85" s="456"/>
      <c r="BK85" s="456"/>
      <c r="BL85" s="465"/>
      <c r="BM85" s="7"/>
      <c r="BN85" s="7"/>
      <c r="BO85" s="7"/>
      <c r="BP85" s="465"/>
      <c r="BQ85" s="465"/>
      <c r="BR85" s="465"/>
      <c r="BS85" s="7"/>
      <c r="BT85" s="7"/>
      <c r="BU85" s="589"/>
      <c r="BV85" s="465"/>
      <c r="BW85" s="465"/>
      <c r="BX85" s="465"/>
      <c r="BY85" s="465"/>
      <c r="BZ85" s="465"/>
      <c r="CA85" s="465"/>
      <c r="CB85" s="456"/>
      <c r="CC85" s="465"/>
      <c r="CD85" s="608"/>
      <c r="CE85" s="608"/>
      <c r="CH85" s="456"/>
      <c r="CI85" s="456"/>
      <c r="CJ85" s="456"/>
      <c r="CK85" s="456"/>
      <c r="CL85" s="456"/>
      <c r="CM85" s="456"/>
      <c r="CN85" s="456"/>
      <c r="CO85" s="456"/>
      <c r="CP85" s="456"/>
      <c r="CQ85" s="456"/>
      <c r="CR85" s="456"/>
      <c r="CS85" s="456"/>
      <c r="CT85" s="456"/>
      <c r="CU85" s="456"/>
      <c r="CV85" s="456"/>
      <c r="CW85" s="456"/>
      <c r="CX85" s="457"/>
      <c r="CY85" s="456"/>
      <c r="CZ85" s="456"/>
      <c r="DA85" s="456"/>
      <c r="DB85" s="456"/>
      <c r="DC85" s="456"/>
      <c r="DD85" s="456"/>
      <c r="DE85" s="456"/>
      <c r="DF85" s="456"/>
      <c r="DG85" s="456"/>
      <c r="DH85" s="456"/>
      <c r="DI85" s="456"/>
      <c r="DJ85" s="456"/>
      <c r="DK85" s="456"/>
      <c r="DL85" s="456"/>
      <c r="DM85" s="456"/>
      <c r="DN85" s="456"/>
      <c r="DO85" s="456"/>
      <c r="DP85" s="456"/>
      <c r="DQ85" s="456"/>
      <c r="DR85" s="456"/>
      <c r="DS85" s="456"/>
      <c r="DT85" s="456"/>
      <c r="DU85" s="456"/>
      <c r="DV85" s="456"/>
      <c r="DW85" s="456"/>
      <c r="DX85" s="456"/>
      <c r="DY85" s="456"/>
      <c r="DZ85" s="456"/>
      <c r="EA85" s="456"/>
      <c r="EB85" s="456"/>
      <c r="EC85" s="456"/>
      <c r="ED85" s="456"/>
      <c r="EE85" s="456"/>
      <c r="EF85" s="456"/>
      <c r="EG85" s="456"/>
      <c r="EH85" s="456"/>
      <c r="EI85" s="456"/>
      <c r="EJ85" s="456"/>
      <c r="EK85" s="456"/>
      <c r="EL85" s="457"/>
      <c r="EM85" s="457"/>
      <c r="EN85" s="456"/>
      <c r="EO85" s="456"/>
      <c r="EP85" s="456"/>
      <c r="EQ85" s="456"/>
      <c r="ER85" s="456"/>
      <c r="ES85" s="456"/>
      <c r="ET85" s="456"/>
      <c r="EU85" s="456"/>
      <c r="EV85" s="456"/>
      <c r="EW85" s="456"/>
      <c r="EX85" s="456"/>
      <c r="EY85" s="456"/>
      <c r="EZ85" s="456"/>
      <c r="FA85" s="456"/>
      <c r="FB85" s="456"/>
      <c r="FC85" s="456"/>
      <c r="FD85" s="456"/>
      <c r="FE85" s="456"/>
      <c r="FF85" s="456"/>
      <c r="FG85" s="456"/>
      <c r="FH85" s="456"/>
      <c r="FI85" s="456"/>
      <c r="FJ85" s="456"/>
      <c r="FK85" s="456"/>
      <c r="FL85" s="456"/>
      <c r="FM85" s="456"/>
      <c r="FN85" s="456"/>
      <c r="FO85" s="456"/>
      <c r="FP85" s="456"/>
      <c r="FQ85" s="456"/>
      <c r="FR85" s="456"/>
      <c r="FS85" s="456"/>
      <c r="FT85" s="456"/>
      <c r="FU85" s="456"/>
      <c r="FV85" s="456"/>
      <c r="FW85" s="456"/>
      <c r="FX85" s="456"/>
      <c r="FY85" s="456"/>
      <c r="FZ85" s="456"/>
      <c r="GA85" s="456"/>
      <c r="GB85" s="456"/>
      <c r="GC85" s="456"/>
      <c r="GD85" s="456"/>
      <c r="GE85" s="456"/>
      <c r="GF85" s="456"/>
      <c r="GG85" s="456"/>
      <c r="GH85" s="456"/>
      <c r="GI85" s="456"/>
      <c r="GJ85" s="457"/>
      <c r="GK85" s="457"/>
      <c r="GL85" s="456"/>
      <c r="GM85" s="456"/>
      <c r="GN85" s="456"/>
      <c r="GO85" s="456"/>
      <c r="GP85" s="456"/>
      <c r="GQ85" s="456"/>
      <c r="GR85" s="456"/>
      <c r="GS85" s="456"/>
      <c r="GT85" s="456"/>
      <c r="GU85" s="456"/>
      <c r="GV85" s="456"/>
      <c r="GW85" s="456"/>
      <c r="GX85" s="456"/>
      <c r="GY85" s="456"/>
      <c r="GZ85" s="456"/>
      <c r="HA85" s="456"/>
      <c r="HB85" s="456"/>
      <c r="HC85" s="456"/>
      <c r="HD85" s="456"/>
      <c r="HE85" s="456"/>
      <c r="HF85" s="456"/>
      <c r="HG85" s="456"/>
      <c r="HH85" s="456"/>
      <c r="HI85" s="456"/>
      <c r="HJ85" s="456"/>
      <c r="HK85" s="456"/>
      <c r="HL85" s="456"/>
      <c r="HM85" s="456"/>
      <c r="HN85" s="456"/>
      <c r="HO85" s="456"/>
      <c r="HP85" s="465"/>
      <c r="HQ85" s="456"/>
      <c r="HR85" s="456"/>
      <c r="HS85" s="456"/>
      <c r="HT85" s="456"/>
      <c r="HU85" s="456"/>
      <c r="HV85" s="456"/>
      <c r="HW85" s="456"/>
      <c r="HX85" s="456"/>
      <c r="HY85" s="456"/>
      <c r="HZ85" s="456"/>
      <c r="IA85" s="456"/>
      <c r="IB85" s="456"/>
      <c r="IC85" s="456"/>
      <c r="ID85" s="456"/>
      <c r="IE85" s="456"/>
      <c r="IF85" s="456"/>
      <c r="IG85" s="456"/>
      <c r="IH85" s="456"/>
      <c r="II85" s="456"/>
      <c r="IJ85" s="456"/>
      <c r="IK85" s="456"/>
      <c r="IL85" s="456"/>
      <c r="IM85" s="456"/>
      <c r="IN85" s="457"/>
      <c r="IO85" s="457"/>
      <c r="IP85" s="456"/>
      <c r="IQ85" s="456"/>
      <c r="IR85" s="456"/>
      <c r="IS85" s="456"/>
      <c r="IT85" s="456"/>
      <c r="IU85" s="456"/>
      <c r="IV85" s="456"/>
      <c r="IW85" s="456"/>
      <c r="IX85" s="456"/>
      <c r="IY85" s="456"/>
      <c r="IZ85" s="456"/>
      <c r="JA85" s="456"/>
      <c r="JB85" s="456"/>
      <c r="JC85" s="456"/>
      <c r="JD85" s="456"/>
      <c r="JE85" s="456"/>
      <c r="JF85" s="456"/>
      <c r="JG85" s="456"/>
      <c r="JH85" s="456"/>
      <c r="JI85" s="456"/>
      <c r="JJ85" s="456"/>
      <c r="JK85" s="456"/>
      <c r="JL85" s="456"/>
      <c r="JM85" s="456"/>
      <c r="JN85" s="456"/>
      <c r="JO85" s="456"/>
      <c r="JP85" s="456"/>
      <c r="JQ85" s="456"/>
      <c r="JR85" s="456"/>
      <c r="JS85" s="456"/>
      <c r="JT85" s="456"/>
      <c r="JU85" s="456"/>
      <c r="JV85" s="456"/>
      <c r="JW85" s="456"/>
      <c r="JX85" s="456"/>
      <c r="JY85" s="456"/>
      <c r="JZ85" s="456"/>
      <c r="KA85" s="456"/>
      <c r="KB85" s="456"/>
      <c r="KC85" s="456"/>
      <c r="KD85" s="456"/>
      <c r="KE85" s="456"/>
      <c r="KF85" s="456"/>
    </row>
    <row r="86" spans="1:292" ht="70" hidden="1" customHeight="1">
      <c r="A86" s="170" t="s">
        <v>292</v>
      </c>
      <c r="B86" s="334">
        <v>28</v>
      </c>
      <c r="C86" s="334" t="s">
        <v>71</v>
      </c>
      <c r="D86" s="334">
        <v>496</v>
      </c>
      <c r="E86" s="363">
        <v>988</v>
      </c>
      <c r="F86" s="335">
        <v>45509</v>
      </c>
      <c r="G86" s="78" t="s">
        <v>293</v>
      </c>
      <c r="H86" s="78"/>
      <c r="I86" s="68" t="s">
        <v>31</v>
      </c>
      <c r="J86" s="150" t="s">
        <v>294</v>
      </c>
      <c r="K86" s="244" t="s">
        <v>270</v>
      </c>
      <c r="L86" s="528" t="s">
        <v>73</v>
      </c>
      <c r="M86" s="607"/>
      <c r="N86" s="42">
        <v>45501</v>
      </c>
      <c r="O86" s="609">
        <v>45501</v>
      </c>
      <c r="P86" s="526">
        <v>45665</v>
      </c>
      <c r="Q86" s="452">
        <f t="shared" si="26"/>
        <v>45721</v>
      </c>
      <c r="R86" s="452">
        <f t="shared" si="27"/>
        <v>45794</v>
      </c>
      <c r="S86" s="58" t="s">
        <v>236</v>
      </c>
      <c r="T86" s="585">
        <v>45864</v>
      </c>
      <c r="U86" s="280">
        <f t="shared" si="24"/>
        <v>363</v>
      </c>
      <c r="V86" s="268" t="s">
        <v>295</v>
      </c>
      <c r="W86" s="600" t="s">
        <v>296</v>
      </c>
      <c r="X86" s="465"/>
      <c r="Y86" s="465"/>
      <c r="Z86" s="465"/>
      <c r="AA86" s="465"/>
      <c r="AB86" s="465"/>
      <c r="AC86" s="465"/>
      <c r="AD86" s="465"/>
      <c r="AE86" s="465"/>
      <c r="AF86" s="610"/>
      <c r="AG86" s="465"/>
      <c r="AH86" s="505" t="s">
        <v>281</v>
      </c>
      <c r="AI86" s="505"/>
      <c r="AJ86" s="457"/>
      <c r="AK86" s="457"/>
      <c r="AL86" s="505"/>
      <c r="AM86" s="603" t="s">
        <v>277</v>
      </c>
      <c r="AN86" s="603"/>
      <c r="AO86" s="603"/>
      <c r="AP86" s="601" t="s">
        <v>272</v>
      </c>
      <c r="AQ86" s="601"/>
      <c r="AR86" s="602" t="s">
        <v>282</v>
      </c>
      <c r="AS86" s="598" t="s">
        <v>265</v>
      </c>
      <c r="AT86" s="598"/>
      <c r="AU86" s="598"/>
      <c r="AV86" s="596" t="s">
        <v>261</v>
      </c>
      <c r="AW86" s="596"/>
      <c r="AX86" s="596"/>
      <c r="AY86" s="471" t="s">
        <v>77</v>
      </c>
      <c r="AZ86" s="471"/>
      <c r="BA86" s="471"/>
      <c r="BB86" s="473" t="s">
        <v>66</v>
      </c>
      <c r="BC86" s="473"/>
      <c r="BD86" s="592" t="s">
        <v>247</v>
      </c>
      <c r="BE86" s="592"/>
      <c r="BF86" s="592"/>
      <c r="BG86" s="591" t="s">
        <v>242</v>
      </c>
      <c r="BH86" s="591"/>
      <c r="BI86" s="3" t="s">
        <v>238</v>
      </c>
      <c r="BJ86" s="3" t="s">
        <v>243</v>
      </c>
      <c r="BK86" s="604" t="s">
        <v>287</v>
      </c>
      <c r="BL86" s="605"/>
      <c r="BM86" s="605"/>
      <c r="BN86" s="605"/>
      <c r="BO86" s="605"/>
      <c r="BP86" s="605"/>
      <c r="BQ86" s="605"/>
      <c r="BR86" s="605"/>
      <c r="BS86" s="516" t="s">
        <v>130</v>
      </c>
      <c r="BV86" s="530"/>
      <c r="BW86" s="530"/>
      <c r="BX86" s="530"/>
      <c r="BY86" s="530"/>
      <c r="BZ86" s="465"/>
      <c r="CA86" s="465"/>
      <c r="CB86" s="456"/>
      <c r="CC86" s="465"/>
      <c r="CD86" s="465"/>
      <c r="CE86" s="465"/>
      <c r="CH86" s="456"/>
      <c r="CI86" s="456"/>
      <c r="CJ86" s="456"/>
      <c r="CK86" s="456"/>
      <c r="CL86" s="456"/>
      <c r="CM86" s="456"/>
      <c r="CN86" s="456"/>
      <c r="CO86" s="456"/>
      <c r="CP86" s="456"/>
      <c r="CQ86" s="456"/>
      <c r="CR86" s="456"/>
      <c r="CS86" s="456"/>
      <c r="CT86" s="456"/>
      <c r="CU86" s="456"/>
      <c r="CV86" s="456"/>
      <c r="CW86" s="456"/>
      <c r="CX86" s="457"/>
      <c r="CY86" s="456"/>
      <c r="CZ86" s="456"/>
      <c r="DA86" s="456"/>
      <c r="DB86" s="456"/>
      <c r="DC86" s="456"/>
      <c r="DD86" s="456"/>
      <c r="DE86" s="456"/>
      <c r="DF86" s="456"/>
      <c r="DG86" s="456"/>
      <c r="DH86" s="456"/>
      <c r="DI86" s="456"/>
      <c r="DJ86" s="456"/>
      <c r="DK86" s="456"/>
      <c r="DL86" s="456"/>
      <c r="DM86" s="456"/>
      <c r="DN86" s="456"/>
      <c r="DO86" s="456"/>
      <c r="DP86" s="456"/>
      <c r="DQ86" s="456"/>
      <c r="DR86" s="456"/>
      <c r="DS86" s="456"/>
      <c r="DT86" s="456"/>
      <c r="DU86" s="456"/>
      <c r="DV86" s="456"/>
      <c r="DW86" s="456"/>
      <c r="DX86" s="456"/>
      <c r="DY86" s="456"/>
      <c r="DZ86" s="456"/>
      <c r="EA86" s="456"/>
      <c r="EB86" s="456"/>
      <c r="EC86" s="456"/>
      <c r="ED86" s="456"/>
      <c r="EE86" s="456"/>
      <c r="EF86" s="456"/>
      <c r="EG86" s="456"/>
      <c r="EH86" s="456"/>
      <c r="EI86" s="456"/>
      <c r="EJ86" s="456"/>
      <c r="EK86" s="456"/>
      <c r="EL86" s="457"/>
      <c r="EM86" s="457"/>
      <c r="EN86" s="456"/>
      <c r="EO86" s="456"/>
      <c r="EP86" s="456"/>
      <c r="EQ86" s="456"/>
      <c r="ER86" s="456"/>
      <c r="ES86" s="456"/>
      <c r="ET86" s="456"/>
      <c r="EU86" s="456"/>
      <c r="EV86" s="456"/>
      <c r="EW86" s="456"/>
      <c r="EX86" s="456"/>
      <c r="EY86" s="456"/>
      <c r="EZ86" s="456"/>
      <c r="FA86" s="456"/>
      <c r="FB86" s="456"/>
      <c r="FC86" s="456"/>
      <c r="FD86" s="456"/>
      <c r="FE86" s="456"/>
      <c r="FF86" s="456"/>
      <c r="FG86" s="456"/>
      <c r="FH86" s="456"/>
      <c r="FI86" s="456"/>
      <c r="FJ86" s="456"/>
      <c r="FK86" s="456"/>
      <c r="FL86" s="456"/>
      <c r="FM86" s="456"/>
      <c r="FN86" s="456"/>
      <c r="FO86" s="456"/>
      <c r="FP86" s="456"/>
      <c r="FQ86" s="456"/>
      <c r="FR86" s="456"/>
      <c r="FS86" s="456"/>
      <c r="FT86" s="456"/>
      <c r="FU86" s="456"/>
      <c r="FV86" s="456"/>
      <c r="FW86" s="456"/>
      <c r="FX86" s="456"/>
      <c r="FY86" s="456"/>
      <c r="FZ86" s="456"/>
      <c r="GA86" s="456"/>
      <c r="GB86" s="456"/>
      <c r="GC86" s="456"/>
      <c r="GD86" s="456"/>
      <c r="GE86" s="456"/>
      <c r="GF86" s="456"/>
      <c r="GG86" s="456"/>
      <c r="GH86" s="456"/>
      <c r="GI86" s="456"/>
      <c r="GJ86" s="457"/>
      <c r="GK86" s="457"/>
      <c r="GL86" s="456"/>
      <c r="GM86" s="456"/>
      <c r="GN86" s="456"/>
      <c r="GO86" s="456"/>
      <c r="GP86" s="456"/>
      <c r="GQ86" s="456"/>
      <c r="GR86" s="456"/>
      <c r="GS86" s="456"/>
      <c r="GT86" s="456"/>
      <c r="GU86" s="456"/>
      <c r="GV86" s="456"/>
      <c r="GW86" s="456"/>
      <c r="GX86" s="456"/>
      <c r="GY86" s="456"/>
      <c r="GZ86" s="456"/>
      <c r="HA86" s="456"/>
      <c r="HB86" s="456"/>
      <c r="HC86" s="456"/>
      <c r="HD86" s="456"/>
      <c r="HE86" s="456"/>
      <c r="HF86" s="456"/>
      <c r="HG86" s="456"/>
      <c r="HH86" s="456"/>
      <c r="HI86" s="456"/>
      <c r="HJ86" s="456"/>
      <c r="HK86" s="456"/>
      <c r="HL86" s="456"/>
      <c r="HM86" s="456"/>
      <c r="HN86" s="456"/>
      <c r="HO86" s="456"/>
      <c r="HP86" s="465"/>
      <c r="HQ86" s="456"/>
      <c r="HR86" s="456"/>
      <c r="HS86" s="456"/>
      <c r="HT86" s="456"/>
      <c r="HU86" s="456"/>
      <c r="HV86" s="456"/>
      <c r="HW86" s="456"/>
      <c r="HX86" s="456"/>
      <c r="HY86" s="456"/>
      <c r="HZ86" s="456"/>
      <c r="IA86" s="456"/>
      <c r="IB86" s="456"/>
      <c r="IC86" s="456"/>
      <c r="ID86" s="456"/>
      <c r="IE86" s="456"/>
      <c r="IF86" s="456"/>
      <c r="IG86" s="456"/>
      <c r="IH86" s="456"/>
      <c r="II86" s="456"/>
      <c r="IJ86" s="456"/>
      <c r="IK86" s="456"/>
      <c r="IL86" s="456"/>
      <c r="IM86" s="456"/>
      <c r="IN86" s="457"/>
      <c r="IO86" s="457"/>
      <c r="IP86" s="456"/>
      <c r="IQ86" s="456"/>
      <c r="IR86" s="456"/>
      <c r="IS86" s="456"/>
      <c r="IT86" s="456"/>
      <c r="IU86" s="456"/>
      <c r="IV86" s="456"/>
      <c r="IW86" s="456"/>
      <c r="IX86" s="456"/>
      <c r="IY86" s="456"/>
      <c r="IZ86" s="456"/>
      <c r="JA86" s="456"/>
      <c r="JB86" s="456"/>
      <c r="JC86" s="456"/>
      <c r="JD86" s="456"/>
      <c r="JE86" s="456"/>
      <c r="JF86" s="456"/>
      <c r="JG86" s="456"/>
      <c r="JH86" s="456"/>
      <c r="JI86" s="456"/>
      <c r="JJ86" s="456"/>
      <c r="JK86" s="456"/>
      <c r="JL86" s="456"/>
      <c r="JM86" s="456"/>
      <c r="JN86" s="456"/>
      <c r="JO86" s="456"/>
      <c r="JP86" s="456"/>
      <c r="JQ86" s="456"/>
      <c r="JR86" s="456"/>
      <c r="JS86" s="456"/>
      <c r="JT86" s="456"/>
      <c r="JU86" s="456"/>
      <c r="JV86" s="456"/>
      <c r="JW86" s="456"/>
      <c r="JX86" s="456"/>
      <c r="JY86" s="456"/>
      <c r="JZ86" s="456"/>
      <c r="KA86" s="456"/>
      <c r="KB86" s="456"/>
      <c r="KC86" s="456"/>
      <c r="KD86" s="456"/>
      <c r="KE86" s="456"/>
      <c r="KF86" s="456"/>
    </row>
    <row r="87" spans="1:292" ht="70" hidden="1" customHeight="1">
      <c r="A87" s="170" t="s">
        <v>297</v>
      </c>
      <c r="B87" s="334">
        <v>29</v>
      </c>
      <c r="C87" s="334" t="s">
        <v>71</v>
      </c>
      <c r="D87" s="334">
        <v>202</v>
      </c>
      <c r="E87" s="334">
        <v>264</v>
      </c>
      <c r="F87" s="335">
        <v>45511</v>
      </c>
      <c r="G87" s="78" t="s">
        <v>298</v>
      </c>
      <c r="H87" s="78"/>
      <c r="I87" s="41" t="s">
        <v>31</v>
      </c>
      <c r="J87" s="150" t="s">
        <v>299</v>
      </c>
      <c r="K87" s="244" t="s">
        <v>270</v>
      </c>
      <c r="L87" s="528" t="s">
        <v>73</v>
      </c>
      <c r="M87" s="607"/>
      <c r="N87" s="141">
        <v>45532</v>
      </c>
      <c r="O87" s="61">
        <v>45532</v>
      </c>
      <c r="P87" s="526">
        <v>45700</v>
      </c>
      <c r="Q87" s="452">
        <f t="shared" si="26"/>
        <v>45756</v>
      </c>
      <c r="R87" s="452">
        <f t="shared" si="27"/>
        <v>45815</v>
      </c>
      <c r="S87" s="58"/>
      <c r="T87" s="585">
        <v>45885</v>
      </c>
      <c r="U87" s="280">
        <f t="shared" si="24"/>
        <v>353</v>
      </c>
      <c r="V87" s="267" t="s">
        <v>300</v>
      </c>
      <c r="W87" s="452" t="s">
        <v>301</v>
      </c>
      <c r="X87" s="465"/>
      <c r="Y87" s="465"/>
      <c r="Z87" s="465"/>
      <c r="AA87" s="465"/>
      <c r="AB87" s="465"/>
      <c r="AC87" s="465"/>
      <c r="AD87" s="465"/>
      <c r="AE87" s="465"/>
      <c r="AF87" s="610"/>
      <c r="AG87" s="595"/>
      <c r="AH87" s="340"/>
      <c r="AI87" s="465"/>
      <c r="AJ87" s="457"/>
      <c r="AK87" s="457"/>
      <c r="AL87" s="456"/>
      <c r="AM87" s="505" t="s">
        <v>281</v>
      </c>
      <c r="AN87" s="505"/>
      <c r="AO87" s="505"/>
      <c r="AP87" s="611" t="s">
        <v>277</v>
      </c>
      <c r="AQ87" s="612"/>
      <c r="AR87" s="613"/>
      <c r="AS87" s="601" t="s">
        <v>272</v>
      </c>
      <c r="AT87" s="601"/>
      <c r="AU87" s="602" t="s">
        <v>282</v>
      </c>
      <c r="AV87" s="598" t="s">
        <v>265</v>
      </c>
      <c r="AW87" s="598"/>
      <c r="AX87" s="598"/>
      <c r="AY87" s="596" t="s">
        <v>261</v>
      </c>
      <c r="AZ87" s="596"/>
      <c r="BA87" s="596"/>
      <c r="BB87" s="471" t="s">
        <v>77</v>
      </c>
      <c r="BC87" s="471"/>
      <c r="BD87" s="473" t="s">
        <v>66</v>
      </c>
      <c r="BE87" s="473"/>
      <c r="BF87" s="473"/>
      <c r="BG87" s="592" t="s">
        <v>247</v>
      </c>
      <c r="BH87" s="592"/>
      <c r="BI87" s="591" t="s">
        <v>242</v>
      </c>
      <c r="BJ87" s="591"/>
      <c r="BK87" s="591"/>
      <c r="BL87" s="3" t="s">
        <v>238</v>
      </c>
      <c r="BM87" s="3" t="s">
        <v>243</v>
      </c>
      <c r="BN87" s="604" t="s">
        <v>69</v>
      </c>
      <c r="BO87" s="605"/>
      <c r="BP87" s="516" t="s">
        <v>130</v>
      </c>
      <c r="BQ87" s="465"/>
      <c r="BR87" s="7"/>
      <c r="BS87" s="7"/>
      <c r="BT87" s="465"/>
      <c r="BU87" s="465"/>
      <c r="BV87" s="465"/>
      <c r="BW87" s="465"/>
      <c r="BX87" s="465"/>
      <c r="BY87" s="456"/>
      <c r="BZ87" s="465"/>
      <c r="CA87" s="465"/>
      <c r="CB87" s="456"/>
      <c r="CC87" s="465"/>
      <c r="CD87" s="465"/>
      <c r="CE87" s="465"/>
      <c r="CH87" s="456"/>
      <c r="CI87" s="456"/>
      <c r="CJ87" s="456"/>
      <c r="CK87" s="456"/>
      <c r="CL87" s="456"/>
      <c r="CM87" s="456"/>
      <c r="CN87" s="456"/>
      <c r="CO87" s="456"/>
      <c r="CP87" s="456"/>
      <c r="CQ87" s="456"/>
      <c r="CR87" s="456"/>
      <c r="CS87" s="456"/>
      <c r="CT87" s="456"/>
      <c r="CU87" s="456"/>
      <c r="CV87" s="456"/>
      <c r="CW87" s="456"/>
      <c r="CX87" s="457"/>
      <c r="CY87" s="456"/>
      <c r="CZ87" s="456"/>
      <c r="DA87" s="456"/>
      <c r="DB87" s="456"/>
      <c r="DC87" s="456"/>
      <c r="DD87" s="456"/>
      <c r="DE87" s="456"/>
      <c r="DF87" s="456"/>
      <c r="DG87" s="456"/>
      <c r="DH87" s="456"/>
      <c r="DI87" s="456"/>
      <c r="DJ87" s="456"/>
      <c r="DK87" s="456"/>
      <c r="DL87" s="456"/>
      <c r="DM87" s="456"/>
      <c r="DN87" s="456"/>
      <c r="DO87" s="456"/>
      <c r="DP87" s="456"/>
      <c r="DQ87" s="456"/>
      <c r="DR87" s="456"/>
      <c r="DS87" s="456"/>
      <c r="DT87" s="456"/>
      <c r="DU87" s="456"/>
      <c r="DV87" s="456"/>
      <c r="DW87" s="456"/>
      <c r="DX87" s="456"/>
      <c r="DY87" s="456"/>
      <c r="DZ87" s="456"/>
      <c r="EA87" s="456"/>
      <c r="EB87" s="456"/>
      <c r="EC87" s="456"/>
      <c r="ED87" s="456"/>
      <c r="EE87" s="456"/>
      <c r="EF87" s="456"/>
      <c r="EG87" s="456"/>
      <c r="EH87" s="456"/>
      <c r="EI87" s="456"/>
      <c r="EJ87" s="456"/>
      <c r="EK87" s="456"/>
      <c r="EL87" s="457"/>
      <c r="EM87" s="457"/>
      <c r="EN87" s="456"/>
      <c r="EO87" s="456"/>
      <c r="EP87" s="456"/>
      <c r="EQ87" s="456"/>
      <c r="ER87" s="456"/>
      <c r="ES87" s="456"/>
      <c r="ET87" s="456"/>
      <c r="EU87" s="456"/>
      <c r="EV87" s="456"/>
      <c r="EW87" s="456"/>
      <c r="EX87" s="456"/>
      <c r="EY87" s="456"/>
      <c r="EZ87" s="456"/>
      <c r="FA87" s="456"/>
      <c r="FB87" s="456"/>
      <c r="FC87" s="456"/>
      <c r="FD87" s="456"/>
      <c r="FE87" s="456"/>
      <c r="FF87" s="456"/>
      <c r="FG87" s="456"/>
      <c r="FH87" s="456"/>
      <c r="FI87" s="456"/>
      <c r="FJ87" s="456"/>
      <c r="FK87" s="456"/>
      <c r="FL87" s="456"/>
      <c r="FM87" s="456"/>
      <c r="FN87" s="456"/>
      <c r="FO87" s="456"/>
      <c r="FP87" s="456"/>
      <c r="FQ87" s="456"/>
      <c r="FR87" s="456"/>
      <c r="FS87" s="456"/>
      <c r="FT87" s="456"/>
      <c r="FU87" s="456"/>
      <c r="FV87" s="456"/>
      <c r="FW87" s="456"/>
      <c r="FX87" s="456"/>
      <c r="FY87" s="456"/>
      <c r="FZ87" s="456"/>
      <c r="GA87" s="456"/>
      <c r="GB87" s="456"/>
      <c r="GC87" s="456"/>
      <c r="GD87" s="456"/>
      <c r="GE87" s="456"/>
      <c r="GF87" s="456"/>
      <c r="GG87" s="456"/>
      <c r="GH87" s="456"/>
      <c r="GI87" s="456"/>
      <c r="GJ87" s="457"/>
      <c r="GK87" s="457"/>
      <c r="GL87" s="456"/>
      <c r="GM87" s="456"/>
      <c r="GN87" s="456"/>
      <c r="GO87" s="456"/>
      <c r="GP87" s="456"/>
      <c r="GQ87" s="456"/>
      <c r="GR87" s="456"/>
      <c r="GS87" s="456"/>
      <c r="GT87" s="456"/>
      <c r="GU87" s="456"/>
      <c r="GV87" s="456"/>
      <c r="GW87" s="456"/>
      <c r="GX87" s="456"/>
      <c r="GY87" s="456"/>
      <c r="GZ87" s="456"/>
      <c r="HA87" s="456"/>
      <c r="HB87" s="456"/>
      <c r="HC87" s="456"/>
      <c r="HD87" s="456"/>
      <c r="HE87" s="456"/>
      <c r="HF87" s="456"/>
      <c r="HG87" s="456"/>
      <c r="HH87" s="456"/>
      <c r="HI87" s="456"/>
      <c r="HJ87" s="456"/>
      <c r="HK87" s="456"/>
      <c r="HL87" s="456"/>
      <c r="HM87" s="456"/>
      <c r="HN87" s="456"/>
      <c r="HO87" s="456"/>
      <c r="HP87" s="465"/>
      <c r="HQ87" s="456"/>
      <c r="HR87" s="456"/>
      <c r="HS87" s="456"/>
      <c r="HT87" s="456"/>
      <c r="HU87" s="456"/>
      <c r="HV87" s="456"/>
      <c r="HW87" s="456"/>
      <c r="HX87" s="456"/>
      <c r="HY87" s="456"/>
      <c r="HZ87" s="456"/>
      <c r="IA87" s="456"/>
      <c r="IB87" s="456"/>
      <c r="IC87" s="456"/>
      <c r="ID87" s="456"/>
      <c r="IE87" s="456"/>
      <c r="IF87" s="456"/>
      <c r="IG87" s="456"/>
      <c r="IH87" s="456"/>
      <c r="II87" s="456"/>
      <c r="IJ87" s="456"/>
      <c r="IK87" s="456"/>
      <c r="IL87" s="456"/>
      <c r="IM87" s="456"/>
      <c r="IN87" s="457"/>
      <c r="IO87" s="457"/>
      <c r="IP87" s="456"/>
      <c r="IQ87" s="456"/>
      <c r="IR87" s="456"/>
      <c r="IS87" s="456"/>
      <c r="IT87" s="456"/>
      <c r="IU87" s="456"/>
      <c r="IV87" s="456"/>
      <c r="IW87" s="456"/>
      <c r="IX87" s="456"/>
      <c r="IY87" s="456"/>
      <c r="IZ87" s="456"/>
      <c r="JA87" s="456"/>
      <c r="JB87" s="456"/>
      <c r="JC87" s="456"/>
      <c r="JD87" s="456"/>
      <c r="JE87" s="456"/>
      <c r="JF87" s="456"/>
      <c r="JG87" s="456"/>
      <c r="JH87" s="456"/>
      <c r="JI87" s="456"/>
      <c r="JJ87" s="456"/>
      <c r="JK87" s="456"/>
      <c r="JL87" s="456"/>
      <c r="JM87" s="456"/>
      <c r="JN87" s="456"/>
      <c r="JO87" s="456"/>
      <c r="JP87" s="456"/>
      <c r="JQ87" s="456"/>
      <c r="JR87" s="456"/>
      <c r="JS87" s="456"/>
      <c r="JT87" s="456"/>
      <c r="JU87" s="456"/>
      <c r="JV87" s="456"/>
      <c r="JW87" s="456"/>
      <c r="JX87" s="456"/>
      <c r="JY87" s="456"/>
      <c r="JZ87" s="456"/>
      <c r="KA87" s="456"/>
      <c r="KB87" s="456"/>
      <c r="KC87" s="456"/>
      <c r="KD87" s="456"/>
      <c r="KE87" s="456"/>
      <c r="KF87" s="456"/>
    </row>
    <row r="88" spans="1:292" ht="70" hidden="1" customHeight="1">
      <c r="A88" s="170" t="s">
        <v>302</v>
      </c>
      <c r="B88" s="334">
        <v>30</v>
      </c>
      <c r="C88" s="334" t="s">
        <v>71</v>
      </c>
      <c r="D88" s="334">
        <v>91</v>
      </c>
      <c r="E88" s="334">
        <v>38</v>
      </c>
      <c r="F88" s="335">
        <v>45516</v>
      </c>
      <c r="G88" s="78" t="s">
        <v>303</v>
      </c>
      <c r="H88" s="78"/>
      <c r="I88" s="41" t="s">
        <v>304</v>
      </c>
      <c r="J88" s="150" t="s">
        <v>305</v>
      </c>
      <c r="K88" s="244" t="s">
        <v>270</v>
      </c>
      <c r="L88" s="528" t="s">
        <v>73</v>
      </c>
      <c r="M88" s="607"/>
      <c r="N88" s="142">
        <v>45563</v>
      </c>
      <c r="O88" s="62">
        <v>45563</v>
      </c>
      <c r="P88" s="526">
        <v>45721</v>
      </c>
      <c r="Q88" s="452">
        <f t="shared" si="26"/>
        <v>45777</v>
      </c>
      <c r="R88" s="452">
        <f t="shared" si="27"/>
        <v>45829</v>
      </c>
      <c r="S88" s="58"/>
      <c r="T88" s="585">
        <v>45899</v>
      </c>
      <c r="U88" s="280">
        <f t="shared" si="24"/>
        <v>336</v>
      </c>
      <c r="V88" s="267" t="s">
        <v>306</v>
      </c>
      <c r="W88" s="452" t="s">
        <v>301</v>
      </c>
      <c r="X88" s="456"/>
      <c r="Y88" s="456"/>
      <c r="Z88" s="456"/>
      <c r="AA88" s="456"/>
      <c r="AB88" s="456"/>
      <c r="AC88" s="456"/>
      <c r="AD88" s="456"/>
      <c r="AE88" s="7"/>
      <c r="AF88" s="7"/>
      <c r="AG88" s="340"/>
      <c r="AH88" s="456"/>
      <c r="AI88" s="456"/>
      <c r="AJ88" s="457"/>
      <c r="AK88" s="457"/>
      <c r="AL88" s="456"/>
      <c r="AM88" s="456"/>
      <c r="AN88" s="456"/>
      <c r="AO88" s="456"/>
      <c r="AP88" s="505" t="s">
        <v>281</v>
      </c>
      <c r="AQ88" s="505"/>
      <c r="AR88" s="505"/>
      <c r="AS88" s="603" t="s">
        <v>277</v>
      </c>
      <c r="AT88" s="603"/>
      <c r="AU88" s="603"/>
      <c r="AV88" s="601" t="s">
        <v>272</v>
      </c>
      <c r="AW88" s="601"/>
      <c r="AX88" s="602" t="s">
        <v>282</v>
      </c>
      <c r="AY88" s="598" t="s">
        <v>265</v>
      </c>
      <c r="AZ88" s="598"/>
      <c r="BA88" s="598"/>
      <c r="BB88" s="596" t="s">
        <v>261</v>
      </c>
      <c r="BC88" s="596"/>
      <c r="BD88" s="471" t="s">
        <v>77</v>
      </c>
      <c r="BE88" s="471"/>
      <c r="BF88" s="471"/>
      <c r="BG88" s="473" t="s">
        <v>66</v>
      </c>
      <c r="BH88" s="473"/>
      <c r="BI88" s="592" t="s">
        <v>247</v>
      </c>
      <c r="BJ88" s="592"/>
      <c r="BK88" s="592"/>
      <c r="BL88" s="591" t="s">
        <v>242</v>
      </c>
      <c r="BM88" s="591"/>
      <c r="BN88" s="3" t="s">
        <v>238</v>
      </c>
      <c r="BO88" s="3" t="s">
        <v>243</v>
      </c>
      <c r="BP88" s="516" t="s">
        <v>130</v>
      </c>
      <c r="BQ88" s="465"/>
      <c r="BR88" s="465"/>
      <c r="BS88" s="465"/>
      <c r="BT88" s="7"/>
      <c r="BU88" s="7"/>
      <c r="BV88" s="7"/>
      <c r="BW88" s="465"/>
      <c r="BX88" s="456"/>
      <c r="BY88" s="456"/>
      <c r="BZ88" s="465"/>
      <c r="CA88" s="465"/>
      <c r="CB88" s="456"/>
      <c r="CC88" s="465"/>
      <c r="CD88" s="465"/>
      <c r="CE88" s="465"/>
      <c r="CH88" s="456"/>
      <c r="CI88" s="456"/>
      <c r="CJ88" s="456"/>
      <c r="CK88" s="456"/>
      <c r="CL88" s="456"/>
      <c r="CM88" s="456"/>
      <c r="CN88" s="456"/>
      <c r="CO88" s="456"/>
      <c r="CP88" s="456"/>
      <c r="CQ88" s="456"/>
      <c r="CR88" s="456"/>
      <c r="CS88" s="456"/>
      <c r="CT88" s="456"/>
      <c r="CU88" s="456"/>
      <c r="CV88" s="456"/>
      <c r="CW88" s="456"/>
      <c r="CX88" s="457"/>
      <c r="CY88" s="456"/>
      <c r="CZ88" s="456"/>
      <c r="DA88" s="456"/>
      <c r="DB88" s="456"/>
      <c r="DC88" s="456"/>
      <c r="DD88" s="456"/>
      <c r="DE88" s="456"/>
      <c r="DF88" s="456"/>
      <c r="DG88" s="456"/>
      <c r="DH88" s="456"/>
      <c r="DI88" s="456"/>
      <c r="DJ88" s="456"/>
      <c r="DK88" s="456"/>
      <c r="DL88" s="456"/>
      <c r="DM88" s="456"/>
      <c r="DN88" s="456"/>
      <c r="DO88" s="456"/>
      <c r="DP88" s="456"/>
      <c r="DQ88" s="456"/>
      <c r="DR88" s="456"/>
      <c r="DS88" s="456"/>
      <c r="DT88" s="456"/>
      <c r="DU88" s="456"/>
      <c r="DV88" s="456"/>
      <c r="DW88" s="456"/>
      <c r="DX88" s="456"/>
      <c r="DY88" s="456"/>
      <c r="DZ88" s="456"/>
      <c r="EA88" s="456"/>
      <c r="EB88" s="456"/>
      <c r="EC88" s="456"/>
      <c r="ED88" s="456"/>
      <c r="EE88" s="456"/>
      <c r="EF88" s="456"/>
      <c r="EG88" s="456"/>
      <c r="EH88" s="456"/>
      <c r="EI88" s="456"/>
      <c r="EJ88" s="456"/>
      <c r="EK88" s="456"/>
      <c r="EL88" s="457"/>
      <c r="EM88" s="457"/>
      <c r="EN88" s="456"/>
      <c r="EO88" s="456"/>
      <c r="EP88" s="456"/>
      <c r="EQ88" s="456"/>
      <c r="ER88" s="456"/>
      <c r="ES88" s="456"/>
      <c r="ET88" s="456"/>
      <c r="EU88" s="456"/>
      <c r="EV88" s="456"/>
      <c r="EW88" s="456"/>
      <c r="EX88" s="456"/>
      <c r="EY88" s="456"/>
      <c r="EZ88" s="456"/>
      <c r="FA88" s="456"/>
      <c r="FB88" s="456"/>
      <c r="FC88" s="456"/>
      <c r="FD88" s="456"/>
      <c r="FE88" s="456"/>
      <c r="FF88" s="456"/>
      <c r="FG88" s="456"/>
      <c r="FH88" s="456"/>
      <c r="FI88" s="456"/>
      <c r="FJ88" s="456"/>
      <c r="FK88" s="456"/>
      <c r="FL88" s="456"/>
      <c r="FM88" s="456"/>
      <c r="FN88" s="456"/>
      <c r="FO88" s="456"/>
      <c r="FP88" s="456"/>
      <c r="FQ88" s="456"/>
      <c r="FR88" s="456"/>
      <c r="FS88" s="456"/>
      <c r="FT88" s="456"/>
      <c r="FU88" s="456"/>
      <c r="FV88" s="456"/>
      <c r="FW88" s="456"/>
      <c r="FX88" s="456"/>
      <c r="FY88" s="456"/>
      <c r="FZ88" s="456"/>
      <c r="GA88" s="456"/>
      <c r="GB88" s="456"/>
      <c r="GC88" s="456"/>
      <c r="GD88" s="456"/>
      <c r="GE88" s="456"/>
      <c r="GF88" s="456"/>
      <c r="GG88" s="456"/>
      <c r="GH88" s="456"/>
      <c r="GI88" s="456"/>
      <c r="GJ88" s="457"/>
      <c r="GK88" s="457"/>
      <c r="GL88" s="456"/>
      <c r="GM88" s="456"/>
      <c r="GN88" s="456"/>
      <c r="GO88" s="456"/>
      <c r="GP88" s="456"/>
      <c r="GQ88" s="456"/>
      <c r="GR88" s="456"/>
      <c r="GS88" s="456"/>
      <c r="GT88" s="456"/>
      <c r="GU88" s="456"/>
      <c r="GV88" s="456"/>
      <c r="GW88" s="456"/>
      <c r="GX88" s="456"/>
      <c r="GY88" s="456"/>
      <c r="GZ88" s="456"/>
      <c r="HA88" s="456"/>
      <c r="HB88" s="456"/>
      <c r="HC88" s="456"/>
      <c r="HD88" s="456"/>
      <c r="HE88" s="456"/>
      <c r="HF88" s="456"/>
      <c r="HG88" s="456"/>
      <c r="HH88" s="456"/>
      <c r="HI88" s="456"/>
      <c r="HJ88" s="456"/>
      <c r="HK88" s="456"/>
      <c r="HL88" s="456"/>
      <c r="HM88" s="456"/>
      <c r="HN88" s="456"/>
      <c r="HO88" s="456"/>
      <c r="HP88" s="465"/>
      <c r="HQ88" s="456"/>
      <c r="HR88" s="456"/>
      <c r="HS88" s="456"/>
      <c r="HT88" s="456"/>
      <c r="HU88" s="456"/>
      <c r="HV88" s="456"/>
      <c r="HW88" s="456"/>
      <c r="HX88" s="456"/>
      <c r="HY88" s="456"/>
      <c r="HZ88" s="456"/>
      <c r="IA88" s="456"/>
      <c r="IB88" s="456"/>
      <c r="IC88" s="456"/>
      <c r="ID88" s="456"/>
      <c r="IE88" s="456"/>
      <c r="IF88" s="456"/>
      <c r="IG88" s="456"/>
      <c r="IH88" s="456"/>
      <c r="II88" s="456"/>
      <c r="IJ88" s="456"/>
      <c r="IK88" s="456"/>
      <c r="IL88" s="456"/>
      <c r="IM88" s="456"/>
      <c r="IN88" s="457"/>
      <c r="IO88" s="457"/>
      <c r="IP88" s="456"/>
      <c r="IQ88" s="456"/>
      <c r="IR88" s="456"/>
      <c r="IS88" s="456"/>
      <c r="IT88" s="456"/>
      <c r="IU88" s="456"/>
      <c r="IV88" s="456"/>
      <c r="IW88" s="456"/>
      <c r="IX88" s="456"/>
      <c r="IY88" s="456"/>
      <c r="IZ88" s="456"/>
      <c r="JA88" s="456"/>
      <c r="JB88" s="456"/>
      <c r="JC88" s="456"/>
      <c r="JD88" s="456"/>
      <c r="JE88" s="456"/>
      <c r="JF88" s="456"/>
      <c r="JG88" s="456"/>
      <c r="JH88" s="456"/>
      <c r="JI88" s="456"/>
      <c r="JJ88" s="456"/>
      <c r="JK88" s="456"/>
      <c r="JL88" s="456"/>
      <c r="JM88" s="456"/>
      <c r="JN88" s="456"/>
      <c r="JO88" s="456"/>
      <c r="JP88" s="456"/>
      <c r="JQ88" s="456"/>
      <c r="JR88" s="456"/>
      <c r="JS88" s="456"/>
      <c r="JT88" s="456"/>
      <c r="JU88" s="456"/>
      <c r="JV88" s="456"/>
      <c r="JW88" s="456"/>
      <c r="JX88" s="456"/>
      <c r="JY88" s="456"/>
      <c r="JZ88" s="456"/>
      <c r="KA88" s="456"/>
      <c r="KB88" s="456"/>
      <c r="KC88" s="456"/>
      <c r="KD88" s="456"/>
      <c r="KE88" s="456"/>
      <c r="KF88" s="456"/>
    </row>
    <row r="89" spans="1:292" ht="70" hidden="1" customHeight="1">
      <c r="A89" s="170" t="s">
        <v>307</v>
      </c>
      <c r="B89" s="334">
        <v>31</v>
      </c>
      <c r="C89" s="334" t="s">
        <v>71</v>
      </c>
      <c r="D89" s="334">
        <v>27</v>
      </c>
      <c r="E89" s="334">
        <v>4</v>
      </c>
      <c r="F89" s="335">
        <v>45517</v>
      </c>
      <c r="G89" s="78" t="s">
        <v>308</v>
      </c>
      <c r="H89" s="78"/>
      <c r="I89" s="41" t="s">
        <v>162</v>
      </c>
      <c r="J89" s="150" t="s">
        <v>309</v>
      </c>
      <c r="K89" s="244" t="s">
        <v>270</v>
      </c>
      <c r="L89" s="528" t="s">
        <v>73</v>
      </c>
      <c r="M89" s="497"/>
      <c r="N89" s="141">
        <v>45594</v>
      </c>
      <c r="O89" s="61">
        <v>45594</v>
      </c>
      <c r="P89" s="526">
        <v>45741</v>
      </c>
      <c r="Q89" s="452">
        <f t="shared" si="26"/>
        <v>45797</v>
      </c>
      <c r="R89" s="452">
        <f t="shared" si="27"/>
        <v>45850</v>
      </c>
      <c r="T89" s="585">
        <v>45920</v>
      </c>
      <c r="U89" s="280">
        <f t="shared" si="24"/>
        <v>326</v>
      </c>
      <c r="V89" s="268" t="s">
        <v>295</v>
      </c>
      <c r="W89" s="452" t="s">
        <v>301</v>
      </c>
      <c r="X89" s="456"/>
      <c r="Y89" s="456"/>
      <c r="Z89" s="456"/>
      <c r="AA89" s="456"/>
      <c r="AB89" s="456"/>
      <c r="AC89" s="456"/>
      <c r="AD89" s="456"/>
      <c r="AE89" s="7"/>
      <c r="AF89" s="7"/>
      <c r="AG89" s="340"/>
      <c r="AH89" s="456"/>
      <c r="AI89" s="456"/>
      <c r="AJ89" s="457"/>
      <c r="AK89" s="457"/>
      <c r="AL89" s="456"/>
      <c r="AM89" s="456"/>
      <c r="AN89" s="456"/>
      <c r="AO89" s="456"/>
      <c r="AP89" s="465"/>
      <c r="AQ89" s="465"/>
      <c r="AR89" s="465"/>
      <c r="AS89" s="505" t="s">
        <v>281</v>
      </c>
      <c r="AT89" s="505"/>
      <c r="AU89" s="505"/>
      <c r="AV89" s="603" t="s">
        <v>277</v>
      </c>
      <c r="AW89" s="603"/>
      <c r="AX89" s="603"/>
      <c r="AY89" s="601" t="s">
        <v>272</v>
      </c>
      <c r="AZ89" s="601"/>
      <c r="BA89" s="602" t="s">
        <v>282</v>
      </c>
      <c r="BB89" s="598" t="s">
        <v>265</v>
      </c>
      <c r="BC89" s="598"/>
      <c r="BD89" s="596" t="s">
        <v>261</v>
      </c>
      <c r="BE89" s="596"/>
      <c r="BF89" s="596"/>
      <c r="BG89" s="471" t="s">
        <v>77</v>
      </c>
      <c r="BH89" s="471"/>
      <c r="BI89" s="473" t="s">
        <v>66</v>
      </c>
      <c r="BJ89" s="473"/>
      <c r="BK89" s="473"/>
      <c r="BL89" s="592" t="s">
        <v>247</v>
      </c>
      <c r="BM89" s="592"/>
      <c r="BN89" s="591" t="s">
        <v>242</v>
      </c>
      <c r="BO89" s="591"/>
      <c r="BP89" s="591"/>
      <c r="BQ89" s="3" t="s">
        <v>238</v>
      </c>
      <c r="BR89" s="3" t="s">
        <v>243</v>
      </c>
      <c r="BS89" s="516" t="s">
        <v>130</v>
      </c>
      <c r="BT89" s="7"/>
      <c r="BU89" s="7"/>
      <c r="BV89" s="7"/>
      <c r="BW89" s="465"/>
      <c r="BX89" s="456"/>
      <c r="BY89" s="456"/>
      <c r="BZ89" s="465"/>
      <c r="CA89" s="465"/>
      <c r="CB89" s="456"/>
      <c r="CC89" s="465"/>
      <c r="CD89" s="465"/>
      <c r="CE89" s="465"/>
      <c r="CH89" s="456"/>
      <c r="CI89" s="456"/>
      <c r="CJ89" s="456"/>
      <c r="CK89" s="456"/>
      <c r="CL89" s="456"/>
      <c r="CM89" s="456"/>
      <c r="CN89" s="456"/>
      <c r="CO89" s="456"/>
      <c r="CP89" s="456"/>
      <c r="CQ89" s="456"/>
      <c r="CR89" s="456"/>
      <c r="CS89" s="456"/>
      <c r="CT89" s="456"/>
      <c r="CU89" s="456"/>
      <c r="CV89" s="456"/>
      <c r="CW89" s="456"/>
      <c r="CX89" s="457"/>
      <c r="CY89" s="456"/>
      <c r="CZ89" s="456"/>
      <c r="DA89" s="456"/>
      <c r="DB89" s="456"/>
      <c r="DC89" s="456"/>
      <c r="DD89" s="456"/>
      <c r="DE89" s="456"/>
      <c r="DF89" s="456"/>
      <c r="DG89" s="456"/>
      <c r="DH89" s="456"/>
      <c r="DI89" s="456"/>
      <c r="DJ89" s="456"/>
      <c r="DK89" s="456"/>
      <c r="DL89" s="456"/>
      <c r="DM89" s="456"/>
      <c r="DN89" s="456"/>
      <c r="DO89" s="456"/>
      <c r="DP89" s="456"/>
      <c r="DQ89" s="456"/>
      <c r="DR89" s="456"/>
      <c r="DS89" s="456"/>
      <c r="DT89" s="456"/>
      <c r="DU89" s="456"/>
      <c r="DV89" s="456"/>
      <c r="DW89" s="456"/>
      <c r="DX89" s="456"/>
      <c r="DY89" s="456"/>
      <c r="DZ89" s="456"/>
      <c r="EA89" s="456"/>
      <c r="EB89" s="456"/>
      <c r="EC89" s="456"/>
      <c r="ED89" s="456"/>
      <c r="EE89" s="456"/>
      <c r="EF89" s="456"/>
      <c r="EG89" s="456"/>
      <c r="EH89" s="456"/>
      <c r="EI89" s="456"/>
      <c r="EJ89" s="456"/>
      <c r="EK89" s="456"/>
      <c r="EL89" s="457"/>
      <c r="EM89" s="457"/>
      <c r="EN89" s="456"/>
      <c r="EO89" s="456"/>
      <c r="EP89" s="456"/>
      <c r="EQ89" s="456"/>
      <c r="ER89" s="456"/>
      <c r="ES89" s="456"/>
      <c r="ET89" s="456"/>
      <c r="EU89" s="456"/>
      <c r="EV89" s="456"/>
      <c r="EW89" s="456"/>
      <c r="EX89" s="456"/>
      <c r="EY89" s="456"/>
      <c r="EZ89" s="456"/>
      <c r="FA89" s="456"/>
      <c r="FB89" s="456"/>
      <c r="FC89" s="456"/>
      <c r="FD89" s="456"/>
      <c r="FE89" s="456"/>
      <c r="FF89" s="456"/>
      <c r="FG89" s="456"/>
      <c r="FH89" s="456"/>
      <c r="FI89" s="456"/>
      <c r="FJ89" s="456"/>
      <c r="FK89" s="456"/>
      <c r="FL89" s="456"/>
      <c r="FM89" s="456"/>
      <c r="FN89" s="456"/>
      <c r="FO89" s="456"/>
      <c r="FP89" s="456"/>
      <c r="FQ89" s="456"/>
      <c r="FR89" s="456"/>
      <c r="FS89" s="456"/>
      <c r="FT89" s="456"/>
      <c r="FU89" s="456"/>
      <c r="FV89" s="456"/>
      <c r="FW89" s="456"/>
      <c r="FX89" s="456"/>
      <c r="FY89" s="456"/>
      <c r="FZ89" s="456"/>
      <c r="GA89" s="456"/>
      <c r="GB89" s="456"/>
      <c r="GC89" s="456"/>
      <c r="GD89" s="456"/>
      <c r="GE89" s="456"/>
      <c r="GF89" s="456"/>
      <c r="GG89" s="456"/>
      <c r="GH89" s="456"/>
      <c r="GI89" s="456"/>
      <c r="GJ89" s="457"/>
      <c r="GK89" s="457"/>
      <c r="GL89" s="456"/>
      <c r="GM89" s="456"/>
      <c r="GN89" s="456"/>
      <c r="GO89" s="456"/>
      <c r="GP89" s="456"/>
      <c r="GQ89" s="456"/>
      <c r="GR89" s="456"/>
      <c r="GS89" s="456"/>
      <c r="GT89" s="456"/>
      <c r="GU89" s="456"/>
      <c r="GV89" s="456"/>
      <c r="GW89" s="456"/>
      <c r="GX89" s="456"/>
      <c r="GY89" s="456"/>
      <c r="GZ89" s="456"/>
      <c r="HA89" s="456"/>
      <c r="HB89" s="456"/>
      <c r="HC89" s="456"/>
      <c r="HD89" s="456"/>
      <c r="HE89" s="456"/>
      <c r="HF89" s="456"/>
      <c r="HG89" s="456"/>
      <c r="HH89" s="456"/>
      <c r="HI89" s="456"/>
      <c r="HJ89" s="456"/>
      <c r="HK89" s="456"/>
      <c r="HL89" s="456"/>
      <c r="HM89" s="456"/>
      <c r="HN89" s="456"/>
      <c r="HO89" s="456"/>
      <c r="HP89" s="465"/>
      <c r="HQ89" s="456"/>
      <c r="HR89" s="456"/>
      <c r="HS89" s="456"/>
      <c r="HT89" s="456"/>
      <c r="HU89" s="456"/>
      <c r="HV89" s="456"/>
      <c r="HW89" s="456"/>
      <c r="HX89" s="456"/>
      <c r="HY89" s="456"/>
      <c r="HZ89" s="456"/>
      <c r="IA89" s="456"/>
      <c r="IB89" s="456"/>
      <c r="IC89" s="456"/>
      <c r="ID89" s="456"/>
      <c r="IE89" s="456"/>
      <c r="IF89" s="456"/>
      <c r="IG89" s="456"/>
      <c r="IH89" s="456"/>
      <c r="II89" s="456"/>
      <c r="IJ89" s="456"/>
      <c r="IK89" s="456"/>
      <c r="IL89" s="456"/>
      <c r="IM89" s="456"/>
      <c r="IN89" s="457"/>
      <c r="IO89" s="457"/>
      <c r="IP89" s="456"/>
      <c r="IQ89" s="456"/>
      <c r="IR89" s="456"/>
      <c r="IS89" s="456"/>
      <c r="IT89" s="456"/>
      <c r="IU89" s="456"/>
      <c r="IV89" s="456"/>
      <c r="IW89" s="456"/>
      <c r="IX89" s="456"/>
      <c r="IY89" s="456"/>
      <c r="IZ89" s="456"/>
      <c r="JA89" s="456"/>
      <c r="JB89" s="456"/>
      <c r="JC89" s="456"/>
      <c r="JD89" s="456"/>
      <c r="JE89" s="456"/>
      <c r="JF89" s="456"/>
      <c r="JG89" s="456"/>
      <c r="JH89" s="456"/>
      <c r="JI89" s="456"/>
      <c r="JJ89" s="456"/>
      <c r="JK89" s="456"/>
      <c r="JL89" s="456"/>
      <c r="JM89" s="456"/>
      <c r="JN89" s="456"/>
      <c r="JO89" s="456"/>
      <c r="JP89" s="456"/>
      <c r="JQ89" s="456"/>
      <c r="JR89" s="456"/>
      <c r="JS89" s="456"/>
      <c r="JT89" s="456"/>
      <c r="JU89" s="456"/>
      <c r="JV89" s="456"/>
      <c r="JW89" s="456"/>
      <c r="JX89" s="456"/>
      <c r="JY89" s="456"/>
      <c r="JZ89" s="456"/>
      <c r="KA89" s="456"/>
      <c r="KB89" s="456"/>
      <c r="KC89" s="456"/>
      <c r="KD89" s="456"/>
      <c r="KE89" s="456"/>
      <c r="KF89" s="456"/>
    </row>
    <row r="90" spans="1:292" ht="70" hidden="1" customHeight="1">
      <c r="A90" s="170" t="s">
        <v>310</v>
      </c>
      <c r="B90" s="334">
        <v>32</v>
      </c>
      <c r="C90" s="334" t="s">
        <v>71</v>
      </c>
      <c r="D90" s="334">
        <v>15</v>
      </c>
      <c r="E90" s="363">
        <v>3</v>
      </c>
      <c r="F90" s="335">
        <v>45713</v>
      </c>
      <c r="G90" s="78" t="s">
        <v>311</v>
      </c>
      <c r="H90" s="78"/>
      <c r="I90" s="41" t="s">
        <v>312</v>
      </c>
      <c r="J90" s="150" t="s">
        <v>313</v>
      </c>
      <c r="K90" s="244" t="s">
        <v>270</v>
      </c>
      <c r="L90" s="528" t="s">
        <v>73</v>
      </c>
      <c r="M90" s="33">
        <v>46049</v>
      </c>
      <c r="N90" s="143">
        <v>45778</v>
      </c>
      <c r="O90" s="33">
        <v>46275</v>
      </c>
      <c r="P90" s="526">
        <v>45763</v>
      </c>
      <c r="Q90" s="452">
        <f t="shared" si="26"/>
        <v>45819</v>
      </c>
      <c r="R90" s="452">
        <f t="shared" si="27"/>
        <v>45864</v>
      </c>
      <c r="S90" s="58"/>
      <c r="T90" s="585">
        <v>45934</v>
      </c>
      <c r="U90" s="364">
        <f>T90-O90</f>
        <v>-341</v>
      </c>
      <c r="V90" s="267" t="s">
        <v>314</v>
      </c>
      <c r="W90" s="452" t="s">
        <v>301</v>
      </c>
      <c r="X90" s="456"/>
      <c r="Y90" s="456"/>
      <c r="Z90" s="456"/>
      <c r="AA90" s="456"/>
      <c r="AB90" s="456"/>
      <c r="AC90" s="456"/>
      <c r="AD90" s="456"/>
      <c r="AE90" s="7"/>
      <c r="AF90" s="7"/>
      <c r="AG90" s="340"/>
      <c r="AH90" s="456"/>
      <c r="AI90" s="456"/>
      <c r="AJ90" s="457"/>
      <c r="AK90" s="457"/>
      <c r="AL90" s="456"/>
      <c r="AM90" s="456"/>
      <c r="AN90" s="456"/>
      <c r="AO90" s="456"/>
      <c r="AP90" s="465"/>
      <c r="AQ90" s="465"/>
      <c r="AR90" s="465"/>
      <c r="AS90" s="465"/>
      <c r="AT90" s="465"/>
      <c r="AU90" s="465"/>
      <c r="AV90" s="505" t="s">
        <v>281</v>
      </c>
      <c r="AW90" s="505"/>
      <c r="AX90" s="505"/>
      <c r="AY90" s="603" t="s">
        <v>277</v>
      </c>
      <c r="AZ90" s="603"/>
      <c r="BA90" s="603"/>
      <c r="BB90" s="601" t="s">
        <v>272</v>
      </c>
      <c r="BC90" s="602" t="s">
        <v>282</v>
      </c>
      <c r="BD90" s="598" t="s">
        <v>265</v>
      </c>
      <c r="BE90" s="598"/>
      <c r="BF90" s="598"/>
      <c r="BG90" s="596" t="s">
        <v>261</v>
      </c>
      <c r="BH90" s="596"/>
      <c r="BI90" s="471" t="s">
        <v>77</v>
      </c>
      <c r="BJ90" s="471"/>
      <c r="BK90" s="471"/>
      <c r="BL90" s="473" t="s">
        <v>66</v>
      </c>
      <c r="BM90" s="473"/>
      <c r="BN90" s="592" t="s">
        <v>247</v>
      </c>
      <c r="BO90" s="592"/>
      <c r="BP90" s="592"/>
      <c r="BQ90" s="591" t="s">
        <v>242</v>
      </c>
      <c r="BR90" s="591"/>
      <c r="BS90" s="3" t="s">
        <v>238</v>
      </c>
      <c r="BT90" s="3" t="s">
        <v>243</v>
      </c>
      <c r="BU90" s="615" t="s">
        <v>69</v>
      </c>
      <c r="BV90" s="516" t="s">
        <v>130</v>
      </c>
      <c r="BW90" s="465"/>
      <c r="BX90" s="456"/>
      <c r="BY90" s="456"/>
      <c r="BZ90" s="465"/>
      <c r="CA90" s="465"/>
      <c r="CB90" s="456"/>
      <c r="CC90" s="465"/>
      <c r="CD90" s="465"/>
      <c r="CE90" s="465"/>
      <c r="CH90" s="456"/>
      <c r="CI90" s="456"/>
      <c r="CJ90" s="456"/>
      <c r="CK90" s="456"/>
      <c r="CL90" s="456"/>
      <c r="CM90" s="456"/>
      <c r="CN90" s="456"/>
      <c r="CO90" s="456"/>
      <c r="CP90" s="456"/>
      <c r="CQ90" s="456"/>
      <c r="CR90" s="456"/>
      <c r="CS90" s="456"/>
      <c r="CT90" s="456"/>
      <c r="CU90" s="456"/>
      <c r="CV90" s="456"/>
      <c r="CW90" s="456"/>
      <c r="CX90" s="457"/>
      <c r="CY90" s="456"/>
      <c r="CZ90" s="456"/>
      <c r="DA90" s="456"/>
      <c r="DB90" s="456"/>
      <c r="DC90" s="456"/>
      <c r="DD90" s="456"/>
      <c r="DE90" s="456"/>
      <c r="DF90" s="456"/>
      <c r="DG90" s="456"/>
      <c r="DH90" s="456"/>
      <c r="DI90" s="456"/>
      <c r="DJ90" s="456"/>
      <c r="DK90" s="456"/>
      <c r="DL90" s="456"/>
      <c r="DM90" s="456"/>
      <c r="DN90" s="456"/>
      <c r="DO90" s="456"/>
      <c r="DP90" s="456"/>
      <c r="DQ90" s="456"/>
      <c r="DR90" s="456"/>
      <c r="DS90" s="456"/>
      <c r="DT90" s="456"/>
      <c r="DU90" s="456"/>
      <c r="DV90" s="456"/>
      <c r="DW90" s="456"/>
      <c r="DX90" s="456"/>
      <c r="DY90" s="456"/>
      <c r="DZ90" s="456"/>
      <c r="EA90" s="456"/>
      <c r="EB90" s="456"/>
      <c r="EC90" s="456"/>
      <c r="ED90" s="456"/>
      <c r="EE90" s="456"/>
      <c r="EF90" s="456"/>
      <c r="EG90" s="456"/>
      <c r="EH90" s="456"/>
      <c r="EI90" s="456"/>
      <c r="EJ90" s="456"/>
      <c r="EK90" s="456"/>
      <c r="EL90" s="457"/>
      <c r="EM90" s="457"/>
      <c r="EN90" s="456"/>
      <c r="EO90" s="456"/>
      <c r="EP90" s="456"/>
      <c r="EQ90" s="456"/>
      <c r="ER90" s="456"/>
      <c r="ES90" s="456"/>
      <c r="ET90" s="456"/>
      <c r="EU90" s="456"/>
      <c r="EV90" s="456"/>
      <c r="EW90" s="456"/>
      <c r="EX90" s="456"/>
      <c r="EY90" s="456"/>
      <c r="EZ90" s="456"/>
      <c r="FA90" s="456"/>
      <c r="FB90" s="456"/>
      <c r="FC90" s="456"/>
      <c r="FD90" s="456"/>
      <c r="FE90" s="456"/>
      <c r="FF90" s="456"/>
      <c r="FG90" s="456"/>
      <c r="FH90" s="456"/>
      <c r="FI90" s="456"/>
      <c r="FJ90" s="456"/>
      <c r="FK90" s="456"/>
      <c r="FL90" s="456"/>
      <c r="FM90" s="456"/>
      <c r="FN90" s="456"/>
      <c r="FO90" s="456"/>
      <c r="FP90" s="456"/>
      <c r="FQ90" s="456"/>
      <c r="FR90" s="456"/>
      <c r="FS90" s="456"/>
      <c r="FT90" s="456"/>
      <c r="FU90" s="456"/>
      <c r="FV90" s="456"/>
      <c r="FW90" s="456"/>
      <c r="FX90" s="456"/>
      <c r="FY90" s="456"/>
      <c r="FZ90" s="456"/>
      <c r="GA90" s="456"/>
      <c r="GB90" s="456"/>
      <c r="GC90" s="456"/>
      <c r="GD90" s="456"/>
      <c r="GE90" s="456"/>
      <c r="GF90" s="456"/>
      <c r="GG90" s="456"/>
      <c r="GH90" s="456"/>
      <c r="GI90" s="456"/>
      <c r="GJ90" s="457"/>
      <c r="GK90" s="457"/>
      <c r="GL90" s="456"/>
      <c r="GM90" s="456"/>
      <c r="GN90" s="456"/>
      <c r="GO90" s="456"/>
      <c r="GP90" s="456"/>
      <c r="GQ90" s="456"/>
      <c r="GR90" s="456"/>
      <c r="GS90" s="456"/>
      <c r="GT90" s="456"/>
      <c r="GU90" s="456"/>
      <c r="GV90" s="456"/>
      <c r="GW90" s="456"/>
      <c r="GX90" s="456"/>
      <c r="GY90" s="456"/>
      <c r="GZ90" s="456"/>
      <c r="HA90" s="456"/>
      <c r="HB90" s="456"/>
      <c r="HC90" s="456"/>
      <c r="HD90" s="456"/>
      <c r="HE90" s="456"/>
      <c r="HF90" s="456"/>
      <c r="HG90" s="456"/>
      <c r="HH90" s="456"/>
      <c r="HI90" s="456"/>
      <c r="HJ90" s="456"/>
      <c r="HK90" s="456"/>
      <c r="HL90" s="456"/>
      <c r="HM90" s="456"/>
      <c r="HN90" s="456"/>
      <c r="HO90" s="456"/>
      <c r="HP90" s="465"/>
      <c r="HQ90" s="456"/>
      <c r="HR90" s="456"/>
      <c r="HS90" s="456"/>
      <c r="HT90" s="456"/>
      <c r="HU90" s="456"/>
      <c r="HV90" s="456"/>
      <c r="HW90" s="456"/>
      <c r="HX90" s="456"/>
      <c r="HY90" s="456"/>
      <c r="HZ90" s="456"/>
      <c r="IA90" s="456"/>
      <c r="IB90" s="456"/>
      <c r="IC90" s="456"/>
      <c r="ID90" s="456"/>
      <c r="IE90" s="456"/>
      <c r="IF90" s="456"/>
      <c r="IG90" s="456"/>
      <c r="IH90" s="456"/>
      <c r="II90" s="456"/>
      <c r="IJ90" s="456"/>
      <c r="IK90" s="456"/>
      <c r="IL90" s="456"/>
      <c r="IM90" s="456"/>
      <c r="IN90" s="457"/>
      <c r="IO90" s="457"/>
      <c r="IP90" s="456"/>
      <c r="IQ90" s="456"/>
      <c r="IR90" s="456"/>
      <c r="IS90" s="456"/>
      <c r="IT90" s="456"/>
      <c r="IU90" s="456"/>
      <c r="IV90" s="456"/>
      <c r="IW90" s="456"/>
      <c r="IX90" s="456"/>
      <c r="IY90" s="456"/>
      <c r="IZ90" s="456"/>
      <c r="JA90" s="456"/>
      <c r="JB90" s="456"/>
      <c r="JC90" s="456"/>
      <c r="JD90" s="456"/>
      <c r="JE90" s="456"/>
      <c r="JF90" s="456"/>
      <c r="JG90" s="456"/>
      <c r="JH90" s="456"/>
      <c r="JI90" s="456"/>
      <c r="JJ90" s="456"/>
      <c r="JK90" s="456"/>
      <c r="JL90" s="456"/>
      <c r="JM90" s="456"/>
      <c r="JN90" s="456"/>
      <c r="JO90" s="456"/>
      <c r="JP90" s="456"/>
      <c r="JQ90" s="456"/>
      <c r="JR90" s="456"/>
      <c r="JS90" s="456"/>
      <c r="JT90" s="456"/>
      <c r="JU90" s="456"/>
      <c r="JV90" s="456"/>
      <c r="JW90" s="456"/>
      <c r="JX90" s="456"/>
      <c r="JY90" s="456"/>
      <c r="JZ90" s="456"/>
      <c r="KA90" s="456"/>
      <c r="KB90" s="456"/>
      <c r="KC90" s="456"/>
      <c r="KD90" s="456"/>
      <c r="KE90" s="456"/>
      <c r="KF90" s="456"/>
    </row>
    <row r="91" spans="1:292" ht="70" hidden="1" customHeight="1">
      <c r="A91" s="170" t="s">
        <v>315</v>
      </c>
      <c r="B91" s="334">
        <v>33</v>
      </c>
      <c r="C91" s="334" t="s">
        <v>71</v>
      </c>
      <c r="D91" s="334">
        <v>12</v>
      </c>
      <c r="E91" s="363">
        <v>1</v>
      </c>
      <c r="F91" s="335">
        <v>45736</v>
      </c>
      <c r="G91" s="78" t="s">
        <v>316</v>
      </c>
      <c r="H91" s="78"/>
      <c r="I91" s="41" t="s">
        <v>132</v>
      </c>
      <c r="J91" s="155" t="s">
        <v>317</v>
      </c>
      <c r="K91" s="244" t="s">
        <v>270</v>
      </c>
      <c r="L91" s="529" t="s">
        <v>34</v>
      </c>
      <c r="M91" s="33">
        <v>45784</v>
      </c>
      <c r="N91" s="143">
        <v>46078</v>
      </c>
      <c r="O91" s="33">
        <v>45955</v>
      </c>
      <c r="P91" s="526">
        <v>45784</v>
      </c>
      <c r="Q91" s="452">
        <f t="shared" ref="Q91:Q98" si="28">P91+50</f>
        <v>45834</v>
      </c>
      <c r="R91" s="452">
        <f t="shared" si="27"/>
        <v>45885</v>
      </c>
      <c r="S91" s="58"/>
      <c r="T91" s="585">
        <v>45955</v>
      </c>
      <c r="U91" s="365">
        <f t="shared" ref="U91:U154" si="29">T91-O91</f>
        <v>0</v>
      </c>
      <c r="V91" s="267" t="s">
        <v>318</v>
      </c>
      <c r="W91" s="218" t="s">
        <v>319</v>
      </c>
      <c r="X91" s="456"/>
      <c r="Y91" s="456"/>
      <c r="Z91" s="456"/>
      <c r="AA91" s="456"/>
      <c r="AB91" s="456"/>
      <c r="AC91" s="456"/>
      <c r="AD91" s="456"/>
      <c r="AE91" s="7"/>
      <c r="AF91" s="7"/>
      <c r="AG91" s="340"/>
      <c r="AH91" s="456"/>
      <c r="AI91" s="456"/>
      <c r="AJ91" s="457"/>
      <c r="AK91" s="457"/>
      <c r="AL91" s="456"/>
      <c r="AM91" s="456"/>
      <c r="AN91" s="456"/>
      <c r="AO91" s="456"/>
      <c r="AP91" s="465"/>
      <c r="AQ91" s="465"/>
      <c r="AR91" s="465"/>
      <c r="AS91" s="465"/>
      <c r="AT91" s="465"/>
      <c r="AU91" s="465"/>
      <c r="AV91" s="465"/>
      <c r="AW91" s="465"/>
      <c r="AX91" s="590"/>
      <c r="AY91" s="505" t="s">
        <v>281</v>
      </c>
      <c r="AZ91" s="505"/>
      <c r="BA91" s="505"/>
      <c r="BB91" s="603" t="s">
        <v>277</v>
      </c>
      <c r="BC91" s="603"/>
      <c r="BD91" s="601" t="s">
        <v>272</v>
      </c>
      <c r="BE91" s="601"/>
      <c r="BF91" s="602" t="s">
        <v>282</v>
      </c>
      <c r="BG91" s="598" t="s">
        <v>265</v>
      </c>
      <c r="BH91" s="598"/>
      <c r="BI91" s="596" t="s">
        <v>261</v>
      </c>
      <c r="BJ91" s="596"/>
      <c r="BK91" s="596"/>
      <c r="BL91" s="471" t="s">
        <v>77</v>
      </c>
      <c r="BM91" s="471"/>
      <c r="BN91" s="473" t="s">
        <v>66</v>
      </c>
      <c r="BO91" s="473"/>
      <c r="BP91" s="473"/>
      <c r="BQ91" s="592" t="s">
        <v>247</v>
      </c>
      <c r="BR91" s="592"/>
      <c r="BS91" s="591" t="s">
        <v>242</v>
      </c>
      <c r="BT91" s="591"/>
      <c r="BU91" s="591"/>
      <c r="BV91" s="3" t="s">
        <v>238</v>
      </c>
      <c r="BW91" s="3" t="s">
        <v>243</v>
      </c>
      <c r="BX91" s="456"/>
      <c r="BY91" s="456"/>
      <c r="BZ91" s="465"/>
      <c r="CA91" s="465"/>
      <c r="CB91" s="456"/>
      <c r="CC91" s="465"/>
      <c r="CD91" s="465"/>
      <c r="CE91" s="465"/>
      <c r="CF91" s="465"/>
      <c r="CG91" s="616"/>
      <c r="CH91" s="456"/>
      <c r="CI91" s="456"/>
      <c r="CJ91" s="456"/>
      <c r="CK91" s="456"/>
      <c r="CL91" s="456"/>
      <c r="CM91" s="457"/>
      <c r="CN91" s="457"/>
      <c r="CO91" s="456"/>
      <c r="CP91" s="456"/>
      <c r="CQ91" s="456"/>
      <c r="CR91" s="456"/>
      <c r="CS91" s="617"/>
      <c r="CT91" s="456"/>
      <c r="CU91" s="456"/>
      <c r="CV91" s="456"/>
      <c r="CW91" s="456"/>
      <c r="CX91" s="457"/>
      <c r="CY91" s="456"/>
      <c r="CZ91" s="456"/>
      <c r="DA91" s="456"/>
      <c r="DB91" s="456"/>
      <c r="DC91" s="456"/>
      <c r="DD91" s="456"/>
      <c r="DE91" s="456"/>
      <c r="DF91" s="456"/>
      <c r="DG91" s="456"/>
      <c r="DH91" s="456"/>
      <c r="DI91" s="456"/>
      <c r="DJ91" s="456"/>
      <c r="DK91" s="456"/>
      <c r="DL91" s="456"/>
      <c r="DM91" s="456"/>
      <c r="DN91" s="456"/>
      <c r="DO91" s="456"/>
      <c r="DP91" s="456"/>
      <c r="DQ91" s="456"/>
      <c r="DR91" s="456"/>
      <c r="DS91" s="456"/>
      <c r="DT91" s="456"/>
      <c r="DU91" s="456"/>
      <c r="DV91" s="456"/>
      <c r="DW91" s="456"/>
      <c r="DX91" s="456"/>
      <c r="DY91" s="456"/>
      <c r="DZ91" s="456"/>
      <c r="EA91" s="456"/>
      <c r="EB91" s="456"/>
      <c r="EC91" s="456"/>
      <c r="ED91" s="456"/>
      <c r="EE91" s="456"/>
      <c r="EF91" s="456"/>
      <c r="EG91" s="456"/>
      <c r="EH91" s="456"/>
      <c r="EI91" s="456"/>
      <c r="EJ91" s="456"/>
      <c r="EK91" s="456"/>
      <c r="EL91" s="457"/>
      <c r="EM91" s="457"/>
      <c r="EN91" s="456"/>
      <c r="EO91" s="456"/>
      <c r="EP91" s="456"/>
      <c r="EQ91" s="456"/>
      <c r="ER91" s="456"/>
      <c r="ES91" s="456"/>
      <c r="ET91" s="456"/>
      <c r="EU91" s="456"/>
      <c r="EV91" s="456"/>
      <c r="EW91" s="456"/>
      <c r="EX91" s="456"/>
      <c r="EY91" s="456"/>
      <c r="EZ91" s="456"/>
      <c r="FA91" s="456"/>
      <c r="FB91" s="456"/>
      <c r="FC91" s="456"/>
      <c r="FD91" s="456"/>
      <c r="FE91" s="456"/>
      <c r="FF91" s="456"/>
      <c r="FG91" s="456"/>
      <c r="FH91" s="456"/>
      <c r="FI91" s="456"/>
      <c r="FJ91" s="456"/>
      <c r="FK91" s="456"/>
      <c r="FL91" s="456"/>
      <c r="FM91" s="456"/>
      <c r="FN91" s="456"/>
      <c r="FO91" s="456"/>
      <c r="FP91" s="456"/>
      <c r="FQ91" s="456"/>
      <c r="FR91" s="456"/>
      <c r="FS91" s="456"/>
      <c r="FT91" s="456"/>
      <c r="FU91" s="456"/>
      <c r="FV91" s="456"/>
      <c r="FW91" s="456"/>
      <c r="FX91" s="456"/>
      <c r="FY91" s="456"/>
      <c r="FZ91" s="456"/>
      <c r="GA91" s="456"/>
      <c r="GB91" s="456"/>
      <c r="GC91" s="456"/>
      <c r="GD91" s="456"/>
      <c r="GE91" s="456"/>
      <c r="GF91" s="456"/>
      <c r="GG91" s="456"/>
      <c r="GH91" s="456"/>
      <c r="GI91" s="456"/>
      <c r="GJ91" s="457"/>
      <c r="GK91" s="457"/>
      <c r="GL91" s="456"/>
      <c r="GM91" s="456"/>
      <c r="GN91" s="456"/>
      <c r="GO91" s="456"/>
      <c r="GP91" s="456"/>
      <c r="GQ91" s="456"/>
      <c r="GR91" s="456"/>
      <c r="GS91" s="456"/>
      <c r="GT91" s="456"/>
      <c r="GU91" s="456"/>
      <c r="GV91" s="456"/>
      <c r="GW91" s="456"/>
      <c r="GX91" s="456"/>
      <c r="GY91" s="456"/>
      <c r="GZ91" s="456"/>
      <c r="HA91" s="456"/>
      <c r="HB91" s="456"/>
      <c r="HC91" s="456"/>
      <c r="HD91" s="456"/>
      <c r="HE91" s="456"/>
      <c r="HF91" s="456"/>
      <c r="HG91" s="456"/>
      <c r="HH91" s="456"/>
      <c r="HI91" s="456"/>
      <c r="HJ91" s="456"/>
      <c r="HK91" s="456"/>
      <c r="HL91" s="456"/>
      <c r="HM91" s="456"/>
      <c r="HN91" s="456"/>
      <c r="HO91" s="456"/>
      <c r="HP91" s="465"/>
      <c r="HQ91" s="456"/>
      <c r="HR91" s="456"/>
      <c r="HS91" s="456"/>
      <c r="HT91" s="456"/>
      <c r="HU91" s="456"/>
      <c r="HV91" s="456"/>
      <c r="HW91" s="456"/>
      <c r="HX91" s="456"/>
      <c r="HY91" s="456"/>
      <c r="HZ91" s="456"/>
      <c r="IA91" s="456"/>
      <c r="IB91" s="456"/>
      <c r="IC91" s="456"/>
      <c r="ID91" s="456"/>
      <c r="IE91" s="456"/>
      <c r="IF91" s="456"/>
      <c r="IG91" s="456"/>
      <c r="IH91" s="456"/>
      <c r="II91" s="456"/>
      <c r="IJ91" s="456"/>
      <c r="IK91" s="456"/>
      <c r="IL91" s="456"/>
      <c r="IM91" s="456"/>
      <c r="IN91" s="457"/>
      <c r="IO91" s="457"/>
      <c r="IP91" s="456"/>
      <c r="IQ91" s="456"/>
      <c r="IR91" s="456"/>
      <c r="IS91" s="456"/>
      <c r="IT91" s="456"/>
      <c r="IU91" s="456"/>
      <c r="IV91" s="456"/>
      <c r="IW91" s="456"/>
      <c r="IX91" s="456"/>
      <c r="IY91" s="456"/>
      <c r="IZ91" s="456"/>
      <c r="JA91" s="456"/>
      <c r="JB91" s="456"/>
      <c r="JC91" s="456"/>
      <c r="JD91" s="456"/>
      <c r="JE91" s="456"/>
      <c r="JF91" s="456"/>
      <c r="JG91" s="456"/>
      <c r="JH91" s="456"/>
      <c r="JI91" s="456"/>
      <c r="JJ91" s="456"/>
      <c r="JK91" s="456"/>
      <c r="JL91" s="456"/>
      <c r="JM91" s="456"/>
      <c r="JN91" s="456"/>
      <c r="JO91" s="456"/>
      <c r="JP91" s="456"/>
      <c r="JQ91" s="456"/>
      <c r="JR91" s="456"/>
      <c r="JS91" s="456"/>
      <c r="JT91" s="456"/>
      <c r="JU91" s="456"/>
      <c r="JV91" s="456"/>
      <c r="JW91" s="456"/>
      <c r="JX91" s="456"/>
      <c r="JY91" s="456"/>
      <c r="JZ91" s="456"/>
      <c r="KA91" s="456"/>
      <c r="KB91" s="456"/>
      <c r="KC91" s="456"/>
      <c r="KD91" s="456"/>
      <c r="KE91" s="456"/>
      <c r="KF91" s="456"/>
    </row>
    <row r="92" spans="1:292" ht="70" hidden="1" customHeight="1">
      <c r="A92" s="170" t="s">
        <v>320</v>
      </c>
      <c r="B92" s="334">
        <v>34</v>
      </c>
      <c r="C92" s="334" t="s">
        <v>71</v>
      </c>
      <c r="D92" s="334">
        <v>6</v>
      </c>
      <c r="E92" s="363">
        <v>0</v>
      </c>
      <c r="F92" s="335">
        <v>45744</v>
      </c>
      <c r="G92" s="78" t="s">
        <v>321</v>
      </c>
      <c r="H92" s="78"/>
      <c r="I92" s="77" t="s">
        <v>132</v>
      </c>
      <c r="J92" s="154" t="s">
        <v>322</v>
      </c>
      <c r="K92" s="244" t="s">
        <v>270</v>
      </c>
      <c r="L92" s="529" t="s">
        <v>34</v>
      </c>
      <c r="M92" s="33">
        <v>45808</v>
      </c>
      <c r="N92" s="42">
        <v>45902</v>
      </c>
      <c r="O92" s="33">
        <v>45969</v>
      </c>
      <c r="P92" s="526">
        <v>45806</v>
      </c>
      <c r="Q92" s="452">
        <f t="shared" si="28"/>
        <v>45856</v>
      </c>
      <c r="R92" s="452">
        <f t="shared" si="27"/>
        <v>45899</v>
      </c>
      <c r="S92" s="58"/>
      <c r="T92" s="585">
        <v>45969</v>
      </c>
      <c r="U92" s="365">
        <f t="shared" si="29"/>
        <v>0</v>
      </c>
      <c r="V92" s="267" t="s">
        <v>323</v>
      </c>
      <c r="W92" s="452" t="s">
        <v>319</v>
      </c>
      <c r="X92" s="456"/>
      <c r="Y92" s="456"/>
      <c r="Z92" s="456"/>
      <c r="AA92" s="456"/>
      <c r="AB92" s="456"/>
      <c r="AC92" s="456"/>
      <c r="AD92" s="456"/>
      <c r="AE92" s="465"/>
      <c r="AF92" s="465"/>
      <c r="AG92" s="340"/>
      <c r="AH92" s="465"/>
      <c r="AI92" s="465"/>
      <c r="AJ92" s="457"/>
      <c r="AK92" s="457"/>
      <c r="AL92" s="456"/>
      <c r="AM92" s="465"/>
      <c r="AN92" s="465"/>
      <c r="AO92" s="465"/>
      <c r="AP92" s="465"/>
      <c r="AQ92" s="465"/>
      <c r="AR92" s="465"/>
      <c r="AS92" s="456"/>
      <c r="AT92" s="456"/>
      <c r="AU92" s="456"/>
      <c r="AV92" s="456"/>
      <c r="AW92" s="456"/>
      <c r="AX92" s="456"/>
      <c r="AY92" s="456"/>
      <c r="AZ92" s="456"/>
      <c r="BA92" s="456"/>
      <c r="BB92" s="505" t="s">
        <v>324</v>
      </c>
      <c r="BC92" s="505"/>
      <c r="BD92" s="603" t="s">
        <v>325</v>
      </c>
      <c r="BE92" s="603"/>
      <c r="BF92" s="603"/>
      <c r="BG92" s="601" t="s">
        <v>272</v>
      </c>
      <c r="BH92" s="602" t="s">
        <v>282</v>
      </c>
      <c r="BI92" s="598" t="s">
        <v>265</v>
      </c>
      <c r="BJ92" s="598"/>
      <c r="BK92" s="598"/>
      <c r="BL92" s="596" t="s">
        <v>261</v>
      </c>
      <c r="BM92" s="596"/>
      <c r="BN92" s="471" t="s">
        <v>77</v>
      </c>
      <c r="BO92" s="471"/>
      <c r="BP92" s="471"/>
      <c r="BQ92" s="473" t="s">
        <v>66</v>
      </c>
      <c r="BR92" s="473"/>
      <c r="BS92" s="592" t="s">
        <v>247</v>
      </c>
      <c r="BT92" s="592"/>
      <c r="BU92" s="592"/>
      <c r="BV92" s="591" t="s">
        <v>242</v>
      </c>
      <c r="BW92" s="591"/>
      <c r="BX92" s="3" t="s">
        <v>238</v>
      </c>
      <c r="BY92" s="3" t="s">
        <v>243</v>
      </c>
      <c r="CA92" s="465"/>
      <c r="CB92" s="456"/>
      <c r="CC92" s="465"/>
      <c r="CD92" s="465"/>
      <c r="CE92" s="465"/>
      <c r="CF92" s="465"/>
      <c r="CG92" s="616"/>
      <c r="CH92" s="465"/>
      <c r="CI92" s="465"/>
      <c r="CJ92" s="465"/>
      <c r="CK92" s="465"/>
      <c r="CL92" s="465"/>
      <c r="CM92" s="457"/>
      <c r="CN92" s="457"/>
      <c r="CO92" s="456"/>
      <c r="CP92" s="465"/>
      <c r="CQ92" s="465"/>
      <c r="CR92" s="465"/>
      <c r="CS92" s="465"/>
      <c r="CT92" s="465"/>
      <c r="CU92" s="465"/>
      <c r="CV92" s="465"/>
      <c r="CW92" s="465"/>
      <c r="CX92" s="457"/>
      <c r="CY92" s="456"/>
      <c r="CZ92" s="456"/>
      <c r="DA92" s="465"/>
      <c r="DB92" s="456"/>
      <c r="DC92" s="456"/>
      <c r="DD92" s="456"/>
      <c r="DE92" s="465"/>
      <c r="DF92" s="465"/>
      <c r="DG92" s="465"/>
      <c r="DH92" s="465"/>
      <c r="DI92" s="456"/>
      <c r="DJ92" s="456"/>
      <c r="DK92" s="456"/>
      <c r="DL92" s="456"/>
      <c r="DM92" s="456"/>
      <c r="DN92" s="456"/>
      <c r="DO92" s="456"/>
      <c r="DP92" s="456"/>
      <c r="DQ92" s="456"/>
      <c r="DR92" s="456"/>
      <c r="DS92" s="456"/>
      <c r="DT92" s="456"/>
      <c r="DU92" s="456"/>
      <c r="DV92" s="456"/>
      <c r="DW92" s="456"/>
      <c r="DX92" s="456"/>
      <c r="DY92" s="456"/>
      <c r="DZ92" s="456"/>
      <c r="EA92" s="456"/>
      <c r="EB92" s="456"/>
      <c r="EC92" s="456"/>
      <c r="ED92" s="456"/>
      <c r="EE92" s="456"/>
      <c r="EF92" s="456"/>
      <c r="EG92" s="456"/>
      <c r="EH92" s="456"/>
      <c r="EI92" s="456"/>
      <c r="EJ92" s="456"/>
      <c r="EK92" s="456"/>
      <c r="EL92" s="457"/>
      <c r="EM92" s="457"/>
      <c r="EN92" s="456"/>
      <c r="EO92" s="456"/>
      <c r="EP92" s="456"/>
      <c r="EQ92" s="456"/>
      <c r="ER92" s="456"/>
      <c r="ES92" s="456"/>
      <c r="ET92" s="456"/>
      <c r="EU92" s="456"/>
      <c r="EV92" s="456"/>
      <c r="EW92" s="456"/>
      <c r="EX92" s="456"/>
      <c r="EY92" s="456"/>
      <c r="EZ92" s="456"/>
      <c r="FA92" s="456"/>
      <c r="FB92" s="456"/>
      <c r="FC92" s="456"/>
      <c r="FD92" s="456"/>
      <c r="FE92" s="456"/>
      <c r="FF92" s="456"/>
      <c r="FG92" s="456"/>
      <c r="FH92" s="456"/>
      <c r="FI92" s="456"/>
      <c r="FJ92" s="456"/>
      <c r="FK92" s="456"/>
      <c r="FL92" s="456"/>
      <c r="FM92" s="456"/>
      <c r="FN92" s="456"/>
      <c r="FO92" s="456"/>
      <c r="FP92" s="456"/>
      <c r="FQ92" s="456"/>
      <c r="FR92" s="456"/>
      <c r="FS92" s="456"/>
      <c r="FT92" s="456"/>
      <c r="FU92" s="456"/>
      <c r="FV92" s="456"/>
      <c r="FW92" s="456"/>
      <c r="FX92" s="456"/>
      <c r="FY92" s="456"/>
      <c r="FZ92" s="456"/>
      <c r="GA92" s="456"/>
      <c r="GB92" s="456"/>
      <c r="GC92" s="456"/>
      <c r="GD92" s="456"/>
      <c r="GE92" s="456"/>
      <c r="GF92" s="456"/>
      <c r="GG92" s="456"/>
      <c r="GH92" s="456"/>
      <c r="GI92" s="456"/>
      <c r="GJ92" s="457"/>
      <c r="GK92" s="457"/>
      <c r="GL92" s="456"/>
      <c r="GM92" s="456"/>
      <c r="GN92" s="456"/>
      <c r="GO92" s="456"/>
      <c r="GP92" s="456"/>
      <c r="GQ92" s="456"/>
      <c r="GR92" s="456"/>
      <c r="GS92" s="456"/>
      <c r="GT92" s="456"/>
      <c r="GU92" s="456"/>
      <c r="GV92" s="456"/>
      <c r="GW92" s="456"/>
      <c r="GX92" s="456"/>
      <c r="GY92" s="456"/>
      <c r="GZ92" s="456"/>
      <c r="HA92" s="456"/>
      <c r="HB92" s="456"/>
      <c r="HC92" s="456"/>
      <c r="HD92" s="456"/>
      <c r="HE92" s="456"/>
      <c r="HF92" s="456"/>
      <c r="HG92" s="456"/>
      <c r="HH92" s="456"/>
      <c r="HI92" s="456"/>
      <c r="HJ92" s="456"/>
      <c r="HK92" s="456"/>
      <c r="HL92" s="456"/>
      <c r="HM92" s="456"/>
      <c r="HN92" s="456"/>
      <c r="HO92" s="456"/>
      <c r="HP92" s="465"/>
      <c r="HQ92" s="456"/>
      <c r="HR92" s="456"/>
      <c r="HS92" s="456"/>
      <c r="HT92" s="456"/>
      <c r="HU92" s="456"/>
      <c r="HV92" s="456"/>
      <c r="HW92" s="456"/>
      <c r="HX92" s="456"/>
      <c r="HY92" s="456"/>
      <c r="HZ92" s="456"/>
      <c r="IA92" s="456"/>
      <c r="IB92" s="456"/>
      <c r="IC92" s="456"/>
      <c r="ID92" s="456"/>
      <c r="IE92" s="456"/>
      <c r="IF92" s="456"/>
      <c r="IG92" s="456"/>
      <c r="IH92" s="456"/>
      <c r="II92" s="456"/>
      <c r="IJ92" s="456"/>
      <c r="IK92" s="456"/>
      <c r="IL92" s="456"/>
      <c r="IM92" s="456"/>
      <c r="IN92" s="457"/>
      <c r="IO92" s="457"/>
      <c r="IP92" s="456"/>
      <c r="IQ92" s="456"/>
      <c r="IR92" s="456"/>
      <c r="IS92" s="456"/>
      <c r="IT92" s="456"/>
      <c r="IU92" s="456"/>
      <c r="IV92" s="456"/>
      <c r="IW92" s="456"/>
      <c r="IX92" s="456"/>
      <c r="IY92" s="456"/>
      <c r="IZ92" s="456"/>
      <c r="JA92" s="456"/>
      <c r="JB92" s="456"/>
      <c r="JC92" s="456"/>
      <c r="JD92" s="456"/>
      <c r="JE92" s="456"/>
      <c r="JF92" s="456"/>
      <c r="JG92" s="456"/>
      <c r="JH92" s="456"/>
      <c r="JI92" s="456"/>
      <c r="JJ92" s="456"/>
      <c r="JK92" s="456"/>
      <c r="JL92" s="456"/>
      <c r="JM92" s="456"/>
      <c r="JN92" s="456"/>
      <c r="JO92" s="456"/>
      <c r="JP92" s="456"/>
      <c r="JQ92" s="456"/>
      <c r="JR92" s="456"/>
      <c r="JS92" s="456"/>
      <c r="JT92" s="456"/>
      <c r="JU92" s="456"/>
      <c r="JV92" s="456"/>
      <c r="JW92" s="456"/>
      <c r="JX92" s="456"/>
      <c r="JY92" s="456"/>
      <c r="JZ92" s="456"/>
      <c r="KA92" s="456"/>
      <c r="KB92" s="456"/>
      <c r="KC92" s="456"/>
      <c r="KD92" s="456"/>
      <c r="KE92" s="456"/>
      <c r="KF92" s="456"/>
    </row>
    <row r="93" spans="1:292" ht="70" hidden="1" customHeight="1">
      <c r="A93" s="170" t="s">
        <v>326</v>
      </c>
      <c r="B93" s="334">
        <v>35</v>
      </c>
      <c r="C93" s="334" t="s">
        <v>71</v>
      </c>
      <c r="D93" s="334">
        <v>5</v>
      </c>
      <c r="E93" s="334">
        <v>0</v>
      </c>
      <c r="F93" s="335" t="s">
        <v>224</v>
      </c>
      <c r="G93" s="78" t="s">
        <v>327</v>
      </c>
      <c r="H93" s="78"/>
      <c r="I93" s="69" t="s">
        <v>132</v>
      </c>
      <c r="J93" s="154" t="s">
        <v>328</v>
      </c>
      <c r="K93" s="244" t="s">
        <v>270</v>
      </c>
      <c r="L93" s="594" t="s">
        <v>73</v>
      </c>
      <c r="M93" s="33">
        <v>45868</v>
      </c>
      <c r="N93" s="42">
        <v>45995</v>
      </c>
      <c r="O93" s="33">
        <v>46078</v>
      </c>
      <c r="P93" s="526">
        <v>45818</v>
      </c>
      <c r="Q93" s="452">
        <f t="shared" si="28"/>
        <v>45868</v>
      </c>
      <c r="R93" s="452">
        <f t="shared" si="27"/>
        <v>45920</v>
      </c>
      <c r="T93" s="585">
        <v>45990</v>
      </c>
      <c r="U93" s="364">
        <f t="shared" si="29"/>
        <v>-88</v>
      </c>
      <c r="V93" s="269" t="s">
        <v>329</v>
      </c>
      <c r="W93" s="452" t="s">
        <v>319</v>
      </c>
      <c r="X93" s="456"/>
      <c r="Y93" s="456"/>
      <c r="Z93" s="456"/>
      <c r="AA93" s="456"/>
      <c r="AB93" s="456"/>
      <c r="AC93" s="456"/>
      <c r="AD93" s="456"/>
      <c r="AE93" s="465"/>
      <c r="AF93" s="465"/>
      <c r="AG93" s="340"/>
      <c r="AH93" s="465"/>
      <c r="AI93" s="465"/>
      <c r="AJ93" s="457"/>
      <c r="AK93" s="457"/>
      <c r="AL93" s="456"/>
      <c r="AM93" s="465"/>
      <c r="AN93" s="465"/>
      <c r="AO93" s="465"/>
      <c r="AP93" s="465"/>
      <c r="AQ93" s="465"/>
      <c r="AR93" s="465"/>
      <c r="AS93" s="465"/>
      <c r="AT93" s="465"/>
      <c r="AU93" s="465"/>
      <c r="AV93" s="465"/>
      <c r="AW93" s="465"/>
      <c r="AX93" s="465"/>
      <c r="AY93" s="465"/>
      <c r="AZ93" s="465"/>
      <c r="BA93" s="590"/>
      <c r="BB93" s="465"/>
      <c r="BC93" s="465"/>
      <c r="BD93" s="505" t="s">
        <v>324</v>
      </c>
      <c r="BE93" s="505"/>
      <c r="BF93" s="505"/>
      <c r="BG93" s="603" t="s">
        <v>325</v>
      </c>
      <c r="BH93" s="603"/>
      <c r="BI93" s="601" t="s">
        <v>272</v>
      </c>
      <c r="BJ93" s="601"/>
      <c r="BK93" s="602" t="s">
        <v>282</v>
      </c>
      <c r="BL93" s="598" t="s">
        <v>265</v>
      </c>
      <c r="BM93" s="598"/>
      <c r="BN93" s="596" t="s">
        <v>261</v>
      </c>
      <c r="BO93" s="596"/>
      <c r="BP93" s="596"/>
      <c r="BQ93" s="471" t="s">
        <v>77</v>
      </c>
      <c r="BR93" s="471"/>
      <c r="BS93" s="473" t="s">
        <v>66</v>
      </c>
      <c r="BT93" s="473"/>
      <c r="BU93" s="473"/>
      <c r="BV93" s="592" t="s">
        <v>247</v>
      </c>
      <c r="BW93" s="592"/>
      <c r="BX93" s="591" t="s">
        <v>242</v>
      </c>
      <c r="BY93" s="591"/>
      <c r="BZ93" s="591"/>
      <c r="CA93" s="3" t="s">
        <v>238</v>
      </c>
      <c r="CB93" s="3" t="s">
        <v>243</v>
      </c>
      <c r="CC93" s="516" t="s">
        <v>130</v>
      </c>
      <c r="CD93" s="589"/>
      <c r="CE93" s="465"/>
      <c r="CF93" s="7"/>
      <c r="CG93" s="107"/>
      <c r="CH93" s="465"/>
      <c r="CI93" s="7"/>
      <c r="CJ93" s="7"/>
      <c r="CK93" s="465"/>
      <c r="CL93" s="465"/>
      <c r="CM93" s="457"/>
      <c r="CN93" s="457"/>
      <c r="CO93" s="456"/>
      <c r="CP93" s="465"/>
      <c r="CQ93" s="465"/>
      <c r="CR93" s="465"/>
      <c r="CS93" s="465"/>
      <c r="CT93" s="465"/>
      <c r="CU93" s="465"/>
      <c r="CV93" s="465"/>
      <c r="CW93" s="465"/>
      <c r="CX93" s="457"/>
      <c r="CY93" s="456"/>
      <c r="CZ93" s="456"/>
      <c r="DA93" s="465"/>
      <c r="DB93" s="456"/>
      <c r="DC93" s="456"/>
      <c r="DD93" s="456"/>
      <c r="DE93" s="465"/>
      <c r="DF93" s="465"/>
      <c r="DG93" s="465"/>
      <c r="DH93" s="465"/>
      <c r="DI93" s="456"/>
      <c r="DJ93" s="456"/>
      <c r="DK93" s="456"/>
      <c r="DL93" s="456"/>
      <c r="DM93" s="456"/>
      <c r="DN93" s="456"/>
      <c r="DO93" s="456"/>
      <c r="DP93" s="456"/>
      <c r="DQ93" s="456"/>
      <c r="DR93" s="456"/>
      <c r="DS93" s="456"/>
      <c r="DT93" s="456"/>
      <c r="DU93" s="456"/>
      <c r="DV93" s="456"/>
      <c r="DW93" s="456"/>
      <c r="DX93" s="456"/>
      <c r="DY93" s="456"/>
      <c r="DZ93" s="456"/>
      <c r="EA93" s="456"/>
      <c r="EB93" s="456"/>
      <c r="EC93" s="456"/>
      <c r="ED93" s="456"/>
      <c r="EE93" s="456"/>
      <c r="EF93" s="456"/>
      <c r="EG93" s="456"/>
      <c r="EH93" s="456"/>
      <c r="EI93" s="456"/>
      <c r="EJ93" s="456"/>
      <c r="EK93" s="456"/>
      <c r="EL93" s="457"/>
      <c r="EM93" s="457"/>
      <c r="EN93" s="456"/>
      <c r="EO93" s="456"/>
      <c r="EP93" s="456"/>
      <c r="EQ93" s="456"/>
      <c r="ER93" s="456"/>
      <c r="ES93" s="456"/>
      <c r="ET93" s="456"/>
      <c r="EU93" s="456"/>
      <c r="EV93" s="456"/>
      <c r="EW93" s="456"/>
      <c r="EX93" s="456"/>
      <c r="EY93" s="456"/>
      <c r="EZ93" s="456"/>
      <c r="FA93" s="456"/>
      <c r="FB93" s="456"/>
      <c r="FC93" s="456"/>
      <c r="FD93" s="456"/>
      <c r="FE93" s="456"/>
      <c r="FF93" s="456"/>
      <c r="FG93" s="456"/>
      <c r="FH93" s="456"/>
      <c r="FI93" s="456"/>
      <c r="FJ93" s="456"/>
      <c r="FK93" s="456"/>
      <c r="FL93" s="456"/>
      <c r="FM93" s="456"/>
      <c r="FN93" s="456"/>
      <c r="FO93" s="456"/>
      <c r="FP93" s="456"/>
      <c r="FQ93" s="456"/>
      <c r="FR93" s="456"/>
      <c r="FS93" s="456"/>
      <c r="FT93" s="456"/>
      <c r="FU93" s="456"/>
      <c r="FV93" s="456"/>
      <c r="FW93" s="456"/>
      <c r="FX93" s="456"/>
      <c r="FY93" s="456"/>
      <c r="FZ93" s="456"/>
      <c r="GA93" s="456"/>
      <c r="GB93" s="456"/>
      <c r="GC93" s="456"/>
      <c r="GD93" s="456"/>
      <c r="GE93" s="456"/>
      <c r="GF93" s="456"/>
      <c r="GG93" s="456"/>
      <c r="GH93" s="456"/>
      <c r="GI93" s="456"/>
      <c r="GJ93" s="457"/>
      <c r="GK93" s="457"/>
      <c r="GL93" s="456"/>
      <c r="GM93" s="456"/>
      <c r="GN93" s="456"/>
      <c r="GO93" s="456"/>
      <c r="GP93" s="456"/>
      <c r="GQ93" s="456"/>
      <c r="GR93" s="456"/>
      <c r="GS93" s="456"/>
      <c r="GT93" s="456"/>
      <c r="GU93" s="456"/>
      <c r="GV93" s="456"/>
      <c r="GW93" s="456"/>
      <c r="GX93" s="456"/>
      <c r="GY93" s="456"/>
      <c r="GZ93" s="456"/>
      <c r="HA93" s="456"/>
      <c r="HB93" s="456"/>
      <c r="HC93" s="456"/>
      <c r="HD93" s="456"/>
      <c r="HE93" s="456"/>
      <c r="HF93" s="456"/>
      <c r="HG93" s="456"/>
      <c r="HH93" s="456"/>
      <c r="HI93" s="456"/>
      <c r="HJ93" s="456"/>
      <c r="HK93" s="456"/>
      <c r="HL93" s="456"/>
      <c r="HM93" s="456"/>
      <c r="HN93" s="456"/>
      <c r="HO93" s="456"/>
      <c r="HP93" s="465"/>
      <c r="HQ93" s="456"/>
      <c r="HR93" s="456"/>
      <c r="HS93" s="456"/>
      <c r="HT93" s="456"/>
      <c r="HU93" s="456"/>
      <c r="HV93" s="456"/>
      <c r="HW93" s="456"/>
      <c r="HX93" s="456"/>
      <c r="HY93" s="456"/>
      <c r="HZ93" s="456"/>
      <c r="IA93" s="456"/>
      <c r="IB93" s="456"/>
      <c r="IC93" s="456"/>
      <c r="ID93" s="456"/>
      <c r="IE93" s="456"/>
      <c r="IF93" s="456"/>
      <c r="IG93" s="456"/>
      <c r="IH93" s="456"/>
      <c r="II93" s="456"/>
      <c r="IJ93" s="456"/>
      <c r="IK93" s="456"/>
      <c r="IL93" s="456"/>
      <c r="IM93" s="456"/>
      <c r="IN93" s="457"/>
      <c r="IO93" s="457"/>
      <c r="IP93" s="456"/>
      <c r="IQ93" s="456"/>
      <c r="IR93" s="456"/>
      <c r="IS93" s="456"/>
      <c r="IT93" s="456"/>
      <c r="IU93" s="456"/>
      <c r="IV93" s="456"/>
      <c r="IW93" s="456"/>
      <c r="IX93" s="456"/>
      <c r="IY93" s="456"/>
      <c r="IZ93" s="456"/>
      <c r="JA93" s="456"/>
      <c r="JB93" s="456"/>
      <c r="JC93" s="456"/>
      <c r="JD93" s="456"/>
      <c r="JE93" s="456"/>
      <c r="JF93" s="456"/>
      <c r="JG93" s="456"/>
      <c r="JH93" s="456"/>
      <c r="JI93" s="456"/>
      <c r="JJ93" s="456"/>
      <c r="JK93" s="456"/>
      <c r="JL93" s="456"/>
      <c r="JM93" s="456"/>
      <c r="JN93" s="456"/>
      <c r="JO93" s="456"/>
      <c r="JP93" s="456"/>
      <c r="JQ93" s="456"/>
      <c r="JR93" s="456"/>
      <c r="JS93" s="456"/>
      <c r="JT93" s="456"/>
      <c r="JU93" s="456"/>
      <c r="JV93" s="456"/>
      <c r="JW93" s="456"/>
      <c r="JX93" s="456"/>
      <c r="JY93" s="456"/>
      <c r="JZ93" s="456"/>
      <c r="KA93" s="456"/>
      <c r="KB93" s="456"/>
      <c r="KC93" s="456"/>
      <c r="KD93" s="456"/>
      <c r="KE93" s="456"/>
      <c r="KF93" s="456"/>
    </row>
    <row r="94" spans="1:292" ht="70" customHeight="1">
      <c r="A94" s="170" t="s">
        <v>330</v>
      </c>
      <c r="B94" s="334">
        <v>36</v>
      </c>
      <c r="C94" s="366" t="s">
        <v>331</v>
      </c>
      <c r="D94" s="334"/>
      <c r="E94" s="334"/>
      <c r="F94" s="335">
        <v>45616</v>
      </c>
      <c r="G94" s="78" t="s">
        <v>332</v>
      </c>
      <c r="H94" s="78"/>
      <c r="I94" s="104" t="s">
        <v>54</v>
      </c>
      <c r="J94" s="156" t="s">
        <v>115</v>
      </c>
      <c r="K94" s="244" t="s">
        <v>270</v>
      </c>
      <c r="L94" s="41" t="s">
        <v>55</v>
      </c>
      <c r="M94" s="33"/>
      <c r="N94" s="42"/>
      <c r="O94" s="33"/>
      <c r="P94" s="526">
        <v>45840</v>
      </c>
      <c r="Q94" s="452">
        <f t="shared" si="28"/>
        <v>45890</v>
      </c>
      <c r="R94" s="452">
        <f t="shared" si="27"/>
        <v>45934</v>
      </c>
      <c r="S94" s="58"/>
      <c r="T94" s="585">
        <v>46004</v>
      </c>
      <c r="U94" s="364">
        <f t="shared" si="29"/>
        <v>46004</v>
      </c>
      <c r="V94" s="269" t="s">
        <v>494</v>
      </c>
      <c r="W94" s="452" t="s">
        <v>736</v>
      </c>
      <c r="X94" s="456"/>
      <c r="Y94" s="456"/>
      <c r="Z94" s="456"/>
      <c r="AA94" s="456"/>
      <c r="AB94" s="456"/>
      <c r="AC94" s="456"/>
      <c r="AD94" s="456"/>
      <c r="AE94" s="465"/>
      <c r="AF94" s="465"/>
      <c r="AG94" s="340"/>
      <c r="AH94" s="465"/>
      <c r="AI94" s="465"/>
      <c r="AJ94" s="457"/>
      <c r="AK94" s="457"/>
      <c r="AL94" s="456"/>
      <c r="AM94" s="465"/>
      <c r="AN94" s="465"/>
      <c r="AO94" s="465"/>
      <c r="AP94" s="465"/>
      <c r="AQ94" s="465"/>
      <c r="AR94" s="465"/>
      <c r="AS94" s="465"/>
      <c r="AT94" s="465"/>
      <c r="AU94" s="465"/>
      <c r="AV94" s="465"/>
      <c r="AW94" s="465"/>
      <c r="AX94" s="465"/>
      <c r="AY94" s="465"/>
      <c r="AZ94" s="465"/>
      <c r="BA94" s="590"/>
      <c r="BB94" s="465"/>
      <c r="BC94" s="465"/>
      <c r="BD94" s="7"/>
      <c r="BE94" s="465"/>
      <c r="BF94" s="465"/>
      <c r="BG94" s="505" t="s">
        <v>324</v>
      </c>
      <c r="BH94" s="505"/>
      <c r="BI94" s="603" t="s">
        <v>325</v>
      </c>
      <c r="BJ94" s="603"/>
      <c r="BK94" s="603"/>
      <c r="BL94" s="601" t="s">
        <v>272</v>
      </c>
      <c r="BM94" s="602" t="s">
        <v>282</v>
      </c>
      <c r="BN94" s="598" t="s">
        <v>265</v>
      </c>
      <c r="BO94" s="598"/>
      <c r="BP94" s="598"/>
      <c r="BQ94" s="596" t="s">
        <v>261</v>
      </c>
      <c r="BR94" s="596"/>
      <c r="BS94" s="471" t="s">
        <v>77</v>
      </c>
      <c r="BT94" s="471"/>
      <c r="BU94" s="471"/>
      <c r="BV94" s="473" t="s">
        <v>66</v>
      </c>
      <c r="BW94" s="473"/>
      <c r="BX94" s="592" t="s">
        <v>247</v>
      </c>
      <c r="BY94" s="592"/>
      <c r="BZ94" s="592"/>
      <c r="CA94" s="591" t="s">
        <v>242</v>
      </c>
      <c r="CB94" s="591"/>
      <c r="CC94" s="591"/>
      <c r="CD94" s="3" t="s">
        <v>238</v>
      </c>
      <c r="CE94" s="3" t="s">
        <v>243</v>
      </c>
      <c r="CF94" s="465"/>
      <c r="CG94" s="616"/>
      <c r="CH94" s="465"/>
      <c r="CI94" s="7"/>
      <c r="CJ94" s="7"/>
      <c r="CK94" s="465"/>
      <c r="CL94" s="465"/>
      <c r="CM94" s="457"/>
      <c r="CN94" s="457"/>
      <c r="CO94" s="456"/>
      <c r="CP94" s="465"/>
      <c r="CQ94" s="465"/>
      <c r="CR94" s="465"/>
      <c r="CS94" s="465"/>
      <c r="CT94" s="465"/>
      <c r="CU94" s="465"/>
      <c r="CV94" s="465"/>
      <c r="CW94" s="465"/>
      <c r="CX94" s="457"/>
      <c r="CY94" s="456"/>
      <c r="CZ94" s="456"/>
      <c r="DA94" s="465"/>
      <c r="DB94" s="456"/>
      <c r="DC94" s="456"/>
      <c r="DD94" s="456"/>
      <c r="DE94" s="465"/>
      <c r="DF94" s="465"/>
      <c r="DG94" s="465"/>
      <c r="DH94" s="465"/>
      <c r="DI94" s="456"/>
      <c r="DJ94" s="456"/>
      <c r="DK94" s="456"/>
      <c r="DL94" s="456"/>
      <c r="DM94" s="456"/>
      <c r="DN94" s="456"/>
      <c r="DO94" s="456"/>
      <c r="DP94" s="456"/>
      <c r="DQ94" s="456"/>
      <c r="DR94" s="456"/>
      <c r="DS94" s="456"/>
      <c r="DT94" s="456"/>
      <c r="DU94" s="456"/>
      <c r="DV94" s="456"/>
      <c r="DW94" s="456"/>
      <c r="DX94" s="456"/>
      <c r="DY94" s="456"/>
      <c r="DZ94" s="456"/>
      <c r="EA94" s="456"/>
      <c r="EB94" s="456"/>
      <c r="EC94" s="456"/>
      <c r="ED94" s="456"/>
      <c r="EE94" s="456"/>
      <c r="EF94" s="456"/>
      <c r="EG94" s="456"/>
      <c r="EH94" s="456"/>
      <c r="EI94" s="456"/>
      <c r="EJ94" s="456"/>
      <c r="EK94" s="456"/>
      <c r="EL94" s="457"/>
      <c r="EM94" s="457"/>
      <c r="EN94" s="456"/>
      <c r="EO94" s="456"/>
      <c r="EP94" s="456"/>
      <c r="EQ94" s="456"/>
      <c r="ER94" s="456"/>
      <c r="ES94" s="456"/>
      <c r="ET94" s="456"/>
      <c r="EU94" s="456"/>
      <c r="EV94" s="456"/>
      <c r="EW94" s="456"/>
      <c r="EX94" s="456"/>
      <c r="EY94" s="456"/>
      <c r="EZ94" s="456"/>
      <c r="FA94" s="456"/>
      <c r="FB94" s="456"/>
      <c r="FC94" s="456"/>
      <c r="FD94" s="456"/>
      <c r="FE94" s="456"/>
      <c r="FF94" s="456"/>
      <c r="FG94" s="456"/>
      <c r="FH94" s="456"/>
      <c r="FI94" s="456"/>
      <c r="FJ94" s="456"/>
      <c r="FK94" s="456"/>
      <c r="FL94" s="456"/>
      <c r="FM94" s="456"/>
      <c r="FN94" s="456"/>
      <c r="FO94" s="456"/>
      <c r="FP94" s="456"/>
      <c r="FQ94" s="456"/>
      <c r="FR94" s="456"/>
      <c r="FS94" s="456"/>
      <c r="FT94" s="456"/>
      <c r="FU94" s="456"/>
      <c r="FV94" s="456"/>
      <c r="FW94" s="456"/>
      <c r="FX94" s="456"/>
      <c r="FY94" s="456"/>
      <c r="FZ94" s="456"/>
      <c r="GA94" s="456"/>
      <c r="GB94" s="456"/>
      <c r="GC94" s="456"/>
      <c r="GD94" s="456"/>
      <c r="GE94" s="456"/>
      <c r="GF94" s="456"/>
      <c r="GG94" s="456"/>
      <c r="GH94" s="456"/>
      <c r="GI94" s="456"/>
      <c r="GJ94" s="457"/>
      <c r="GK94" s="457"/>
      <c r="GL94" s="456"/>
      <c r="GM94" s="456"/>
      <c r="GN94" s="456"/>
      <c r="GO94" s="456"/>
      <c r="GP94" s="456"/>
      <c r="GQ94" s="456"/>
      <c r="GR94" s="456"/>
      <c r="GS94" s="456"/>
      <c r="GT94" s="456"/>
      <c r="GU94" s="456"/>
      <c r="GV94" s="456"/>
      <c r="GW94" s="456"/>
      <c r="GX94" s="456"/>
      <c r="GY94" s="456"/>
      <c r="GZ94" s="456"/>
      <c r="HA94" s="456"/>
      <c r="HB94" s="456"/>
      <c r="HC94" s="456"/>
      <c r="HD94" s="456"/>
      <c r="HE94" s="456"/>
      <c r="HF94" s="456"/>
      <c r="HG94" s="456"/>
      <c r="HH94" s="456"/>
      <c r="HI94" s="456"/>
      <c r="HJ94" s="456"/>
      <c r="HK94" s="456"/>
      <c r="HL94" s="456"/>
      <c r="HM94" s="456"/>
      <c r="HN94" s="456"/>
      <c r="HO94" s="456"/>
      <c r="HP94" s="465"/>
      <c r="HQ94" s="456"/>
      <c r="HR94" s="456"/>
      <c r="HS94" s="456"/>
      <c r="HT94" s="456"/>
      <c r="HU94" s="456"/>
      <c r="HV94" s="456"/>
      <c r="HW94" s="456"/>
      <c r="HX94" s="456"/>
      <c r="HY94" s="456"/>
      <c r="HZ94" s="456"/>
      <c r="IA94" s="456"/>
      <c r="IB94" s="456"/>
      <c r="IC94" s="456"/>
      <c r="ID94" s="456"/>
      <c r="IE94" s="456"/>
      <c r="IF94" s="456"/>
      <c r="IG94" s="456"/>
      <c r="IH94" s="456"/>
      <c r="II94" s="456"/>
      <c r="IJ94" s="456"/>
      <c r="IK94" s="456"/>
      <c r="IL94" s="456"/>
      <c r="IM94" s="456"/>
      <c r="IN94" s="457"/>
      <c r="IO94" s="457"/>
      <c r="IP94" s="456"/>
      <c r="IQ94" s="456"/>
      <c r="IR94" s="456"/>
      <c r="IS94" s="456"/>
      <c r="IT94" s="456"/>
      <c r="IU94" s="456"/>
      <c r="IV94" s="456"/>
      <c r="IW94" s="456"/>
      <c r="IX94" s="456"/>
      <c r="IY94" s="456"/>
      <c r="IZ94" s="456"/>
      <c r="JA94" s="456"/>
      <c r="JB94" s="456"/>
      <c r="JC94" s="456"/>
      <c r="JD94" s="456"/>
      <c r="JE94" s="456"/>
      <c r="JF94" s="456"/>
      <c r="JG94" s="456"/>
      <c r="JH94" s="456"/>
      <c r="JI94" s="456"/>
      <c r="JJ94" s="456"/>
      <c r="JK94" s="456"/>
      <c r="JL94" s="456"/>
      <c r="JM94" s="456"/>
      <c r="JN94" s="456"/>
      <c r="JO94" s="456"/>
      <c r="JP94" s="456"/>
      <c r="JQ94" s="456"/>
      <c r="JR94" s="456"/>
      <c r="JS94" s="456"/>
      <c r="JT94" s="456"/>
      <c r="JU94" s="456"/>
      <c r="JV94" s="456"/>
      <c r="JW94" s="456"/>
      <c r="JX94" s="456"/>
      <c r="JY94" s="456"/>
      <c r="JZ94" s="456"/>
      <c r="KA94" s="456"/>
      <c r="KB94" s="456"/>
      <c r="KC94" s="456"/>
      <c r="KD94" s="456"/>
      <c r="KE94" s="456"/>
      <c r="KF94" s="456"/>
    </row>
    <row r="95" spans="1:292" ht="70" hidden="1" customHeight="1">
      <c r="A95" s="170" t="s">
        <v>335</v>
      </c>
      <c r="B95" s="334">
        <v>37</v>
      </c>
      <c r="C95" s="366" t="s">
        <v>331</v>
      </c>
      <c r="D95" s="334"/>
      <c r="E95" s="334"/>
      <c r="F95" s="335">
        <v>45868</v>
      </c>
      <c r="G95" s="78" t="s">
        <v>336</v>
      </c>
      <c r="H95" s="78"/>
      <c r="I95" s="78" t="s">
        <v>312</v>
      </c>
      <c r="J95" s="154" t="s">
        <v>337</v>
      </c>
      <c r="K95" s="244" t="s">
        <v>270</v>
      </c>
      <c r="L95" s="594" t="s">
        <v>73</v>
      </c>
      <c r="M95" s="33">
        <v>45862</v>
      </c>
      <c r="N95" s="42">
        <v>46119</v>
      </c>
      <c r="O95" s="33">
        <v>46088</v>
      </c>
      <c r="P95" s="526">
        <v>45857</v>
      </c>
      <c r="Q95" s="452">
        <f t="shared" si="28"/>
        <v>45907</v>
      </c>
      <c r="R95" s="452">
        <f t="shared" si="27"/>
        <v>45969</v>
      </c>
      <c r="S95" s="58"/>
      <c r="T95" s="585">
        <v>46039</v>
      </c>
      <c r="U95" s="364">
        <f t="shared" si="29"/>
        <v>-49</v>
      </c>
      <c r="V95" s="269" t="s">
        <v>495</v>
      </c>
      <c r="W95" s="600" t="s">
        <v>338</v>
      </c>
      <c r="X95" s="456"/>
      <c r="Y95" s="456"/>
      <c r="Z95" s="456"/>
      <c r="AA95" s="456"/>
      <c r="AB95" s="456"/>
      <c r="AC95" s="456"/>
      <c r="AD95" s="456"/>
      <c r="AE95" s="465"/>
      <c r="AF95" s="465"/>
      <c r="AG95" s="340"/>
      <c r="AH95" s="465"/>
      <c r="AI95" s="465"/>
      <c r="AJ95" s="457"/>
      <c r="AK95" s="457"/>
      <c r="AL95" s="456"/>
      <c r="AM95" s="465"/>
      <c r="AN95" s="465"/>
      <c r="AO95" s="465"/>
      <c r="AP95" s="465"/>
      <c r="AQ95" s="465"/>
      <c r="AR95" s="465"/>
      <c r="AS95" s="465"/>
      <c r="AT95" s="465"/>
      <c r="AU95" s="465"/>
      <c r="AV95" s="465"/>
      <c r="AW95" s="465"/>
      <c r="AX95" s="465"/>
      <c r="AY95" s="465"/>
      <c r="AZ95" s="465"/>
      <c r="BA95" s="590"/>
      <c r="BB95" s="465"/>
      <c r="BC95" s="465"/>
      <c r="BD95" s="465"/>
      <c r="BE95" s="465"/>
      <c r="BF95" s="465"/>
      <c r="BG95" s="465"/>
      <c r="BH95" s="465"/>
      <c r="BI95" s="505" t="s">
        <v>324</v>
      </c>
      <c r="BJ95" s="505"/>
      <c r="BK95" s="505"/>
      <c r="BL95" s="603" t="s">
        <v>325</v>
      </c>
      <c r="BM95" s="603"/>
      <c r="BN95" s="601" t="s">
        <v>272</v>
      </c>
      <c r="BO95" s="601"/>
      <c r="BP95" s="602" t="s">
        <v>282</v>
      </c>
      <c r="BQ95" s="598" t="s">
        <v>265</v>
      </c>
      <c r="BR95" s="598"/>
      <c r="BS95" s="596" t="s">
        <v>261</v>
      </c>
      <c r="BT95" s="596"/>
      <c r="BU95" s="596"/>
      <c r="BV95" s="471" t="s">
        <v>77</v>
      </c>
      <c r="BW95" s="471"/>
      <c r="BX95" s="473" t="s">
        <v>66</v>
      </c>
      <c r="BY95" s="473"/>
      <c r="BZ95" s="473"/>
      <c r="CA95" s="592" t="s">
        <v>247</v>
      </c>
      <c r="CB95" s="592"/>
      <c r="CC95" s="592"/>
      <c r="CD95" s="591" t="s">
        <v>242</v>
      </c>
      <c r="CE95" s="591"/>
      <c r="CF95" s="591"/>
      <c r="CG95" s="618"/>
      <c r="CH95" s="3" t="s">
        <v>238</v>
      </c>
      <c r="CI95" s="3" t="s">
        <v>224</v>
      </c>
      <c r="CJ95" s="516" t="s">
        <v>130</v>
      </c>
      <c r="CK95" s="7"/>
      <c r="CL95" s="7"/>
      <c r="CM95" s="457"/>
      <c r="CN95" s="457"/>
      <c r="CO95" s="456"/>
      <c r="CP95" s="465"/>
      <c r="CQ95" s="456"/>
      <c r="CR95" s="465"/>
      <c r="CS95" s="465"/>
      <c r="CT95" s="465"/>
      <c r="CU95" s="465"/>
      <c r="CV95" s="465"/>
      <c r="CW95" s="465"/>
      <c r="CX95" s="457"/>
      <c r="CY95" s="456"/>
      <c r="CZ95" s="456"/>
      <c r="DA95" s="456"/>
      <c r="DB95" s="456"/>
      <c r="DC95" s="456"/>
      <c r="DD95" s="456"/>
      <c r="DE95" s="456"/>
      <c r="DF95" s="465"/>
      <c r="DG95" s="465"/>
      <c r="DH95" s="456"/>
      <c r="DI95" s="456"/>
      <c r="DJ95" s="456"/>
      <c r="DK95" s="456"/>
      <c r="DL95" s="456"/>
      <c r="DM95" s="456"/>
      <c r="DN95" s="456"/>
      <c r="DO95" s="456"/>
      <c r="DP95" s="456"/>
      <c r="DQ95" s="456"/>
      <c r="DR95" s="456"/>
      <c r="DS95" s="456"/>
      <c r="DT95" s="456"/>
      <c r="DU95" s="456"/>
      <c r="DV95" s="456"/>
      <c r="DW95" s="456"/>
      <c r="DX95" s="456"/>
      <c r="DY95" s="456"/>
      <c r="DZ95" s="456"/>
      <c r="EA95" s="456"/>
      <c r="EB95" s="456"/>
      <c r="EC95" s="456"/>
      <c r="ED95" s="456"/>
      <c r="EE95" s="456"/>
      <c r="EF95" s="456"/>
      <c r="EG95" s="456"/>
      <c r="EH95" s="456"/>
      <c r="EI95" s="456"/>
      <c r="EJ95" s="456"/>
      <c r="EK95" s="456"/>
      <c r="EL95" s="457"/>
      <c r="EM95" s="457"/>
      <c r="EN95" s="456"/>
      <c r="EO95" s="456"/>
      <c r="EP95" s="456"/>
      <c r="EQ95" s="456"/>
      <c r="ER95" s="456"/>
      <c r="ES95" s="456"/>
      <c r="ET95" s="456"/>
      <c r="EU95" s="456"/>
      <c r="EV95" s="456"/>
      <c r="EW95" s="456"/>
      <c r="EX95" s="456"/>
      <c r="EY95" s="456"/>
      <c r="EZ95" s="456"/>
      <c r="FA95" s="456"/>
      <c r="FB95" s="456"/>
      <c r="FC95" s="456"/>
      <c r="FD95" s="456"/>
      <c r="FE95" s="456"/>
      <c r="FF95" s="456"/>
      <c r="FG95" s="456"/>
      <c r="FH95" s="456"/>
      <c r="FI95" s="456"/>
      <c r="FJ95" s="456"/>
      <c r="FK95" s="456"/>
      <c r="FL95" s="456"/>
      <c r="FM95" s="456"/>
      <c r="FN95" s="456"/>
      <c r="FO95" s="456"/>
      <c r="FP95" s="456"/>
      <c r="FQ95" s="456"/>
      <c r="FR95" s="456"/>
      <c r="FS95" s="456"/>
      <c r="FT95" s="456"/>
      <c r="FU95" s="456"/>
      <c r="FV95" s="456"/>
      <c r="FW95" s="456"/>
      <c r="FX95" s="456"/>
      <c r="FY95" s="456"/>
      <c r="FZ95" s="456"/>
      <c r="GA95" s="456"/>
      <c r="GB95" s="456"/>
      <c r="GC95" s="456"/>
      <c r="GD95" s="456"/>
      <c r="GE95" s="456"/>
      <c r="GF95" s="456"/>
      <c r="GG95" s="456"/>
      <c r="GH95" s="456"/>
      <c r="GI95" s="456"/>
      <c r="GJ95" s="457"/>
      <c r="GK95" s="457"/>
      <c r="GL95" s="456"/>
      <c r="GM95" s="456"/>
      <c r="GN95" s="456"/>
      <c r="GO95" s="456"/>
      <c r="GP95" s="456"/>
      <c r="GQ95" s="456"/>
      <c r="GR95" s="456"/>
      <c r="GS95" s="456"/>
      <c r="GT95" s="456"/>
      <c r="GU95" s="456"/>
      <c r="GV95" s="456"/>
      <c r="GW95" s="456"/>
      <c r="GX95" s="456"/>
      <c r="GY95" s="456"/>
      <c r="GZ95" s="456"/>
      <c r="HA95" s="456"/>
      <c r="HB95" s="456"/>
      <c r="HC95" s="456"/>
      <c r="HD95" s="456"/>
      <c r="HE95" s="456"/>
      <c r="HF95" s="456"/>
      <c r="HG95" s="456"/>
      <c r="HH95" s="456"/>
      <c r="HI95" s="456"/>
      <c r="HJ95" s="456"/>
      <c r="HK95" s="456"/>
      <c r="HL95" s="456"/>
      <c r="HM95" s="456"/>
      <c r="HN95" s="456"/>
      <c r="HO95" s="456"/>
      <c r="HP95" s="465"/>
      <c r="HQ95" s="456"/>
      <c r="HR95" s="456"/>
      <c r="HS95" s="456"/>
      <c r="HT95" s="456"/>
      <c r="HU95" s="456"/>
      <c r="HV95" s="456"/>
      <c r="HW95" s="456"/>
      <c r="HX95" s="456"/>
      <c r="HY95" s="456"/>
      <c r="HZ95" s="456"/>
      <c r="IA95" s="456"/>
      <c r="IB95" s="456"/>
      <c r="IC95" s="456"/>
      <c r="ID95" s="456"/>
      <c r="IE95" s="456"/>
      <c r="IF95" s="456"/>
      <c r="IG95" s="456"/>
      <c r="IH95" s="456"/>
      <c r="II95" s="456"/>
      <c r="IJ95" s="456"/>
      <c r="IK95" s="456"/>
      <c r="IL95" s="456"/>
      <c r="IM95" s="456"/>
      <c r="IN95" s="457"/>
      <c r="IO95" s="457"/>
      <c r="IP95" s="456"/>
      <c r="IQ95" s="456"/>
      <c r="IR95" s="456"/>
      <c r="IS95" s="456"/>
      <c r="IT95" s="456"/>
      <c r="IU95" s="456"/>
      <c r="IV95" s="456"/>
      <c r="IW95" s="456"/>
      <c r="IX95" s="456"/>
      <c r="IY95" s="456"/>
      <c r="IZ95" s="456"/>
      <c r="JA95" s="456"/>
      <c r="JB95" s="456"/>
      <c r="JC95" s="456"/>
      <c r="JD95" s="456"/>
      <c r="JE95" s="456"/>
      <c r="JF95" s="456"/>
      <c r="JG95" s="456"/>
      <c r="JH95" s="456"/>
      <c r="JI95" s="456"/>
      <c r="JJ95" s="456"/>
      <c r="JK95" s="456"/>
      <c r="JL95" s="456"/>
      <c r="JM95" s="456"/>
      <c r="JN95" s="456"/>
      <c r="JO95" s="456"/>
      <c r="JP95" s="456"/>
      <c r="JQ95" s="456"/>
      <c r="JR95" s="456"/>
      <c r="JS95" s="456"/>
      <c r="JT95" s="456"/>
      <c r="JU95" s="456"/>
      <c r="JV95" s="456"/>
      <c r="JW95" s="456"/>
      <c r="JX95" s="456"/>
      <c r="JY95" s="456"/>
      <c r="JZ95" s="456"/>
      <c r="KA95" s="456"/>
      <c r="KB95" s="456"/>
      <c r="KC95" s="456"/>
      <c r="KD95" s="456"/>
      <c r="KE95" s="456"/>
      <c r="KF95" s="456"/>
    </row>
    <row r="96" spans="1:292" ht="70" hidden="1" customHeight="1">
      <c r="A96" s="170" t="s">
        <v>339</v>
      </c>
      <c r="B96" s="334">
        <v>38</v>
      </c>
      <c r="C96" s="366" t="s">
        <v>331</v>
      </c>
      <c r="D96" s="334"/>
      <c r="E96" s="334"/>
      <c r="F96" s="335">
        <v>45800</v>
      </c>
      <c r="G96" s="78" t="s">
        <v>340</v>
      </c>
      <c r="H96" s="78"/>
      <c r="I96" s="69" t="s">
        <v>341</v>
      </c>
      <c r="J96" s="154" t="s">
        <v>342</v>
      </c>
      <c r="K96" s="244" t="s">
        <v>270</v>
      </c>
      <c r="L96" s="594" t="s">
        <v>73</v>
      </c>
      <c r="M96" s="33">
        <v>45894</v>
      </c>
      <c r="N96" s="42">
        <v>46119</v>
      </c>
      <c r="O96" s="33">
        <v>46088</v>
      </c>
      <c r="P96" s="63">
        <v>45877</v>
      </c>
      <c r="Q96" s="452">
        <f t="shared" si="28"/>
        <v>45927</v>
      </c>
      <c r="R96" s="452">
        <v>45976</v>
      </c>
      <c r="S96" s="58"/>
      <c r="T96" s="585">
        <v>46060</v>
      </c>
      <c r="U96" s="364">
        <f t="shared" si="29"/>
        <v>-28</v>
      </c>
      <c r="V96" s="269" t="s">
        <v>684</v>
      </c>
      <c r="W96" s="600" t="s">
        <v>338</v>
      </c>
      <c r="X96" s="456"/>
      <c r="Y96" s="456"/>
      <c r="Z96" s="456"/>
      <c r="AA96" s="456"/>
      <c r="AB96" s="456"/>
      <c r="AC96" s="456"/>
      <c r="AD96" s="456"/>
      <c r="AE96" s="465"/>
      <c r="AF96" s="465"/>
      <c r="AG96" s="340"/>
      <c r="AH96" s="465"/>
      <c r="AI96" s="465"/>
      <c r="AJ96" s="457"/>
      <c r="AK96" s="457"/>
      <c r="AL96" s="456"/>
      <c r="AM96" s="465"/>
      <c r="AN96" s="465"/>
      <c r="AO96" s="465"/>
      <c r="AP96" s="465"/>
      <c r="AQ96" s="465"/>
      <c r="AR96" s="465"/>
      <c r="AS96" s="465"/>
      <c r="AT96" s="465"/>
      <c r="AU96" s="465"/>
      <c r="AV96" s="465"/>
      <c r="AW96" s="465"/>
      <c r="AX96" s="465"/>
      <c r="AY96" s="465"/>
      <c r="AZ96" s="465"/>
      <c r="BA96" s="590"/>
      <c r="BB96" s="465"/>
      <c r="BC96" s="465"/>
      <c r="BD96" s="465"/>
      <c r="BE96" s="465"/>
      <c r="BF96" s="465"/>
      <c r="BG96" s="465"/>
      <c r="BH96" s="7"/>
      <c r="BI96" s="7"/>
      <c r="BJ96" s="465"/>
      <c r="BK96" s="465"/>
      <c r="BL96" s="505" t="s">
        <v>324</v>
      </c>
      <c r="BM96" s="505"/>
      <c r="BN96" s="603" t="s">
        <v>325</v>
      </c>
      <c r="BO96" s="603"/>
      <c r="BP96" s="603"/>
      <c r="BQ96" s="601" t="s">
        <v>272</v>
      </c>
      <c r="BR96" s="602" t="s">
        <v>282</v>
      </c>
      <c r="BS96" s="598" t="s">
        <v>265</v>
      </c>
      <c r="BT96" s="598"/>
      <c r="BU96" s="598"/>
      <c r="BV96" s="596" t="s">
        <v>261</v>
      </c>
      <c r="BW96" s="596"/>
      <c r="BX96" s="471" t="s">
        <v>77</v>
      </c>
      <c r="BY96" s="471"/>
      <c r="BZ96" s="471"/>
      <c r="CA96" s="473" t="s">
        <v>66</v>
      </c>
      <c r="CB96" s="473"/>
      <c r="CC96" s="473"/>
      <c r="CD96" s="592" t="s">
        <v>247</v>
      </c>
      <c r="CE96" s="592"/>
      <c r="CF96" s="592"/>
      <c r="CG96" s="619"/>
      <c r="CH96" s="591" t="s">
        <v>242</v>
      </c>
      <c r="CI96" s="591"/>
      <c r="CJ96" s="591"/>
      <c r="CK96" s="3" t="s">
        <v>238</v>
      </c>
      <c r="CL96" s="3" t="s">
        <v>243</v>
      </c>
      <c r="CM96" s="457"/>
      <c r="CN96" s="457"/>
      <c r="CO96" s="620" t="s">
        <v>69</v>
      </c>
      <c r="CP96" s="620"/>
      <c r="CQ96" s="620"/>
      <c r="CR96" s="516" t="s">
        <v>130</v>
      </c>
      <c r="CS96" s="465"/>
      <c r="CT96" s="465"/>
      <c r="CU96" s="465"/>
      <c r="CV96" s="465"/>
      <c r="CW96" s="465"/>
      <c r="CX96" s="457"/>
      <c r="CY96" s="456"/>
      <c r="CZ96" s="456"/>
      <c r="DA96" s="456"/>
      <c r="DB96" s="456"/>
      <c r="DC96" s="456"/>
      <c r="DD96" s="456"/>
      <c r="DE96" s="456"/>
      <c r="DF96" s="465"/>
      <c r="DG96" s="465"/>
      <c r="DH96" s="456"/>
      <c r="DI96" s="456"/>
      <c r="DJ96" s="456"/>
      <c r="DK96" s="456"/>
      <c r="DL96" s="456"/>
      <c r="DM96" s="456"/>
      <c r="DN96" s="456"/>
      <c r="DO96" s="456"/>
      <c r="DP96" s="456"/>
      <c r="DQ96" s="456"/>
      <c r="DR96" s="456"/>
      <c r="DS96" s="456"/>
      <c r="DT96" s="456"/>
      <c r="DU96" s="456"/>
      <c r="DV96" s="456"/>
      <c r="DW96" s="456"/>
      <c r="DX96" s="456"/>
      <c r="DY96" s="456"/>
      <c r="DZ96" s="456"/>
      <c r="EA96" s="456"/>
      <c r="EB96" s="456"/>
      <c r="EC96" s="456"/>
      <c r="ED96" s="456"/>
      <c r="EE96" s="456"/>
      <c r="EF96" s="456"/>
      <c r="EG96" s="456"/>
      <c r="EH96" s="456"/>
      <c r="EI96" s="456"/>
      <c r="EJ96" s="456"/>
      <c r="EK96" s="456"/>
      <c r="EL96" s="457"/>
      <c r="EM96" s="457"/>
      <c r="EN96" s="456"/>
      <c r="EO96" s="456"/>
      <c r="EP96" s="456"/>
      <c r="EQ96" s="456"/>
      <c r="ER96" s="456"/>
      <c r="ES96" s="456"/>
      <c r="ET96" s="456"/>
      <c r="EU96" s="456"/>
      <c r="EV96" s="456"/>
      <c r="EW96" s="456"/>
      <c r="EX96" s="456"/>
      <c r="EY96" s="456"/>
      <c r="EZ96" s="456"/>
      <c r="FA96" s="456"/>
      <c r="FB96" s="456"/>
      <c r="FC96" s="456"/>
      <c r="FD96" s="456"/>
      <c r="FE96" s="456"/>
      <c r="FF96" s="456"/>
      <c r="FG96" s="456"/>
      <c r="FH96" s="456"/>
      <c r="FI96" s="456"/>
      <c r="FJ96" s="456"/>
      <c r="FK96" s="456"/>
      <c r="FL96" s="456"/>
      <c r="FM96" s="456"/>
      <c r="FN96" s="456"/>
      <c r="FO96" s="456"/>
      <c r="FP96" s="456"/>
      <c r="FQ96" s="456"/>
      <c r="FR96" s="456"/>
      <c r="FS96" s="456"/>
      <c r="FT96" s="456"/>
      <c r="FU96" s="456"/>
      <c r="FV96" s="456"/>
      <c r="FW96" s="456"/>
      <c r="FX96" s="456"/>
      <c r="FY96" s="456"/>
      <c r="FZ96" s="456"/>
      <c r="GA96" s="456"/>
      <c r="GB96" s="456"/>
      <c r="GC96" s="456"/>
      <c r="GD96" s="456"/>
      <c r="GE96" s="456"/>
      <c r="GF96" s="456"/>
      <c r="GG96" s="456"/>
      <c r="GH96" s="456"/>
      <c r="GI96" s="456"/>
      <c r="GJ96" s="457"/>
      <c r="GK96" s="457"/>
      <c r="GL96" s="456"/>
      <c r="GM96" s="456"/>
      <c r="GN96" s="456"/>
      <c r="GO96" s="456"/>
      <c r="GP96" s="456"/>
      <c r="GQ96" s="456"/>
      <c r="GR96" s="456"/>
      <c r="GS96" s="456"/>
      <c r="GT96" s="456"/>
      <c r="GU96" s="456"/>
      <c r="GV96" s="456"/>
      <c r="GW96" s="456"/>
      <c r="GX96" s="456"/>
      <c r="GY96" s="456"/>
      <c r="GZ96" s="456"/>
      <c r="HA96" s="456"/>
      <c r="HB96" s="456"/>
      <c r="HC96" s="456"/>
      <c r="HD96" s="456"/>
      <c r="HE96" s="456"/>
      <c r="HF96" s="456"/>
      <c r="HG96" s="456"/>
      <c r="HH96" s="456"/>
      <c r="HI96" s="456"/>
      <c r="HJ96" s="456"/>
      <c r="HK96" s="456"/>
      <c r="HL96" s="456"/>
      <c r="HM96" s="456"/>
      <c r="HN96" s="456"/>
      <c r="HO96" s="456"/>
      <c r="HP96" s="465"/>
      <c r="HQ96" s="456"/>
      <c r="HR96" s="456"/>
      <c r="HS96" s="456"/>
      <c r="HT96" s="456"/>
      <c r="HU96" s="456"/>
      <c r="HV96" s="456"/>
      <c r="HW96" s="456"/>
      <c r="HX96" s="456"/>
      <c r="HY96" s="456"/>
      <c r="HZ96" s="456"/>
      <c r="IA96" s="456"/>
      <c r="IB96" s="456"/>
      <c r="IC96" s="456"/>
      <c r="ID96" s="456"/>
      <c r="IE96" s="456"/>
      <c r="IF96" s="456"/>
      <c r="IG96" s="456"/>
      <c r="IH96" s="456"/>
      <c r="II96" s="456"/>
      <c r="IJ96" s="456"/>
      <c r="IK96" s="456"/>
      <c r="IL96" s="456"/>
      <c r="IM96" s="456"/>
      <c r="IN96" s="457"/>
      <c r="IO96" s="457"/>
      <c r="IP96" s="456"/>
      <c r="IQ96" s="456"/>
      <c r="IR96" s="456"/>
      <c r="IS96" s="456"/>
      <c r="IT96" s="456"/>
      <c r="IU96" s="456"/>
      <c r="IV96" s="456"/>
      <c r="IW96" s="456"/>
      <c r="IX96" s="456"/>
      <c r="IY96" s="456"/>
      <c r="IZ96" s="456"/>
      <c r="JA96" s="456"/>
      <c r="JB96" s="456"/>
      <c r="JC96" s="456"/>
      <c r="JD96" s="456"/>
      <c r="JE96" s="456"/>
      <c r="JF96" s="456"/>
      <c r="JG96" s="456"/>
      <c r="JH96" s="456"/>
      <c r="JI96" s="456"/>
      <c r="JJ96" s="456"/>
      <c r="JK96" s="456"/>
      <c r="JL96" s="456"/>
      <c r="JM96" s="456"/>
      <c r="JN96" s="456"/>
      <c r="JO96" s="456"/>
      <c r="JP96" s="456"/>
      <c r="JQ96" s="456"/>
      <c r="JR96" s="456"/>
      <c r="JS96" s="456"/>
      <c r="JT96" s="456"/>
      <c r="JU96" s="456"/>
      <c r="JV96" s="456"/>
      <c r="JW96" s="456"/>
      <c r="JX96" s="456"/>
      <c r="JY96" s="456"/>
      <c r="JZ96" s="456"/>
      <c r="KA96" s="456"/>
      <c r="KB96" s="456"/>
      <c r="KC96" s="456"/>
      <c r="KD96" s="456"/>
      <c r="KE96" s="456"/>
      <c r="KF96" s="456"/>
    </row>
    <row r="97" spans="1:292" ht="70" hidden="1" customHeight="1">
      <c r="A97" s="170" t="s">
        <v>343</v>
      </c>
      <c r="B97" s="334">
        <v>39</v>
      </c>
      <c r="C97" s="366" t="s">
        <v>331</v>
      </c>
      <c r="D97" s="334"/>
      <c r="E97" s="334"/>
      <c r="F97" s="335">
        <v>45834</v>
      </c>
      <c r="G97" s="78" t="s">
        <v>344</v>
      </c>
      <c r="H97" s="78"/>
      <c r="I97" s="69" t="s">
        <v>132</v>
      </c>
      <c r="J97" s="155" t="s">
        <v>345</v>
      </c>
      <c r="K97" s="244" t="s">
        <v>270</v>
      </c>
      <c r="L97" s="157" t="s">
        <v>34</v>
      </c>
      <c r="M97" s="33">
        <v>46263</v>
      </c>
      <c r="N97" s="42">
        <v>46487</v>
      </c>
      <c r="O97" s="33">
        <v>46489</v>
      </c>
      <c r="P97" s="526">
        <v>45889</v>
      </c>
      <c r="Q97" s="452">
        <f t="shared" si="28"/>
        <v>45939</v>
      </c>
      <c r="R97" s="452">
        <v>45997</v>
      </c>
      <c r="S97" s="58"/>
      <c r="T97" s="585">
        <v>46102</v>
      </c>
      <c r="U97" s="364">
        <f t="shared" si="29"/>
        <v>-387</v>
      </c>
      <c r="V97" s="267" t="s">
        <v>685</v>
      </c>
      <c r="W97" s="600" t="s">
        <v>338</v>
      </c>
      <c r="X97" s="456"/>
      <c r="Y97" s="456"/>
      <c r="Z97" s="456"/>
      <c r="AA97" s="456"/>
      <c r="AB97" s="456"/>
      <c r="AC97" s="456"/>
      <c r="AD97" s="456"/>
      <c r="AE97" s="465"/>
      <c r="AF97" s="465"/>
      <c r="AG97" s="340"/>
      <c r="AH97" s="465"/>
      <c r="AI97" s="465"/>
      <c r="AJ97" s="457"/>
      <c r="AK97" s="457"/>
      <c r="AL97" s="456"/>
      <c r="AM97" s="465"/>
      <c r="AN97" s="465"/>
      <c r="AO97" s="465"/>
      <c r="AP97" s="465"/>
      <c r="AQ97" s="465"/>
      <c r="AR97" s="465"/>
      <c r="AS97" s="465"/>
      <c r="AT97" s="465"/>
      <c r="AU97" s="465"/>
      <c r="AV97" s="465"/>
      <c r="AW97" s="465"/>
      <c r="AX97" s="465"/>
      <c r="AY97" s="465"/>
      <c r="AZ97" s="465"/>
      <c r="BA97" s="590"/>
      <c r="BB97" s="465"/>
      <c r="BC97" s="465"/>
      <c r="BD97" s="465"/>
      <c r="BE97" s="465"/>
      <c r="BF97" s="465"/>
      <c r="BG97" s="465"/>
      <c r="BH97" s="465"/>
      <c r="BI97" s="465"/>
      <c r="BJ97" s="465"/>
      <c r="BK97" s="456"/>
      <c r="BL97" s="456"/>
      <c r="BM97" s="465"/>
      <c r="BN97" s="505" t="s">
        <v>324</v>
      </c>
      <c r="BO97" s="505"/>
      <c r="BP97" s="505"/>
      <c r="BQ97" s="603" t="s">
        <v>325</v>
      </c>
      <c r="BR97" s="603"/>
      <c r="BS97" s="601" t="s">
        <v>272</v>
      </c>
      <c r="BT97" s="601"/>
      <c r="BU97" s="602" t="s">
        <v>282</v>
      </c>
      <c r="BV97" s="598" t="s">
        <v>265</v>
      </c>
      <c r="BW97" s="598"/>
      <c r="BX97" s="596" t="s">
        <v>261</v>
      </c>
      <c r="BY97" s="596"/>
      <c r="BZ97" s="596"/>
      <c r="CA97" s="471" t="s">
        <v>77</v>
      </c>
      <c r="CB97" s="471"/>
      <c r="CC97" s="471"/>
      <c r="CD97" s="473" t="s">
        <v>66</v>
      </c>
      <c r="CE97" s="473"/>
      <c r="CF97" s="473"/>
      <c r="CG97" s="621"/>
      <c r="CH97" s="592" t="s">
        <v>247</v>
      </c>
      <c r="CI97" s="592"/>
      <c r="CJ97" s="592"/>
      <c r="CK97" s="591" t="s">
        <v>242</v>
      </c>
      <c r="CL97" s="591"/>
      <c r="CM97" s="457"/>
      <c r="CN97" s="457"/>
      <c r="CO97" s="591"/>
      <c r="CP97" s="591"/>
      <c r="CQ97" s="3" t="s">
        <v>238</v>
      </c>
      <c r="CR97" s="3" t="s">
        <v>243</v>
      </c>
      <c r="CS97" s="456"/>
      <c r="CT97" s="465"/>
      <c r="CU97" s="465"/>
      <c r="CV97" s="465"/>
      <c r="CW97" s="465"/>
      <c r="CX97" s="457"/>
      <c r="CY97" s="456"/>
      <c r="CZ97" s="456"/>
      <c r="DA97" s="456"/>
      <c r="DB97" s="456"/>
      <c r="DC97" s="456"/>
      <c r="DD97" s="456"/>
      <c r="DE97" s="456"/>
      <c r="DF97" s="465"/>
      <c r="DG97" s="465"/>
      <c r="DH97" s="456"/>
      <c r="DI97" s="456"/>
      <c r="DJ97" s="456"/>
      <c r="DK97" s="456"/>
      <c r="DL97" s="456"/>
      <c r="DM97" s="456"/>
      <c r="DN97" s="456"/>
      <c r="DO97" s="456"/>
      <c r="DP97" s="456"/>
      <c r="DQ97" s="456"/>
      <c r="DR97" s="456"/>
      <c r="DS97" s="456"/>
      <c r="DT97" s="456"/>
      <c r="DU97" s="456"/>
      <c r="DV97" s="456"/>
      <c r="DW97" s="456"/>
      <c r="DX97" s="456"/>
      <c r="DY97" s="456"/>
      <c r="DZ97" s="456"/>
      <c r="EA97" s="456"/>
      <c r="EB97" s="456"/>
      <c r="EC97" s="456"/>
      <c r="ED97" s="456"/>
      <c r="EE97" s="456"/>
      <c r="EF97" s="456"/>
      <c r="EG97" s="456"/>
      <c r="EH97" s="456"/>
      <c r="EI97" s="456"/>
      <c r="EJ97" s="456"/>
      <c r="EK97" s="456"/>
      <c r="EL97" s="457"/>
      <c r="EM97" s="457"/>
      <c r="EN97" s="456"/>
      <c r="EO97" s="456"/>
      <c r="EP97" s="456"/>
      <c r="EQ97" s="456"/>
      <c r="ER97" s="456"/>
      <c r="ES97" s="456"/>
      <c r="ET97" s="456"/>
      <c r="EU97" s="456"/>
      <c r="EV97" s="456"/>
      <c r="EW97" s="456"/>
      <c r="EX97" s="456"/>
      <c r="EY97" s="456"/>
      <c r="EZ97" s="456"/>
      <c r="FA97" s="456"/>
      <c r="FB97" s="456"/>
      <c r="FC97" s="456"/>
      <c r="FD97" s="456"/>
      <c r="FE97" s="456"/>
      <c r="FF97" s="456"/>
      <c r="FG97" s="456"/>
      <c r="FH97" s="456"/>
      <c r="FI97" s="456"/>
      <c r="FJ97" s="456"/>
      <c r="FK97" s="456"/>
      <c r="FL97" s="456"/>
      <c r="FM97" s="456"/>
      <c r="FN97" s="456"/>
      <c r="FO97" s="456"/>
      <c r="FP97" s="456"/>
      <c r="FQ97" s="456"/>
      <c r="FR97" s="456"/>
      <c r="FS97" s="456"/>
      <c r="FT97" s="456"/>
      <c r="FU97" s="456"/>
      <c r="FV97" s="456"/>
      <c r="FW97" s="456"/>
      <c r="FX97" s="456"/>
      <c r="FY97" s="456"/>
      <c r="FZ97" s="456"/>
      <c r="GA97" s="456"/>
      <c r="GB97" s="456"/>
      <c r="GC97" s="456"/>
      <c r="GD97" s="456"/>
      <c r="GE97" s="456"/>
      <c r="GF97" s="456"/>
      <c r="GG97" s="456"/>
      <c r="GH97" s="456"/>
      <c r="GI97" s="456"/>
      <c r="GJ97" s="457"/>
      <c r="GK97" s="457"/>
      <c r="GL97" s="456"/>
      <c r="GM97" s="456"/>
      <c r="GN97" s="456"/>
      <c r="GO97" s="456"/>
      <c r="GP97" s="456"/>
      <c r="GQ97" s="456"/>
      <c r="GR97" s="456"/>
      <c r="GS97" s="456"/>
      <c r="GT97" s="456"/>
      <c r="GU97" s="456"/>
      <c r="GV97" s="456"/>
      <c r="GW97" s="456"/>
      <c r="GX97" s="456"/>
      <c r="GY97" s="456"/>
      <c r="GZ97" s="456"/>
      <c r="HA97" s="456"/>
      <c r="HB97" s="456"/>
      <c r="HC97" s="456"/>
      <c r="HD97" s="456"/>
      <c r="HE97" s="456"/>
      <c r="HF97" s="456"/>
      <c r="HG97" s="456"/>
      <c r="HH97" s="456"/>
      <c r="HI97" s="456"/>
      <c r="HJ97" s="456"/>
      <c r="HK97" s="456"/>
      <c r="HL97" s="456"/>
      <c r="HM97" s="456"/>
      <c r="HN97" s="456"/>
      <c r="HO97" s="456"/>
      <c r="HP97" s="465"/>
      <c r="HQ97" s="456"/>
      <c r="HR97" s="456"/>
      <c r="HS97" s="456"/>
      <c r="HT97" s="456"/>
      <c r="HU97" s="456"/>
      <c r="HV97" s="456"/>
      <c r="HW97" s="456"/>
      <c r="HX97" s="456"/>
      <c r="HY97" s="456"/>
      <c r="HZ97" s="456"/>
      <c r="IA97" s="456"/>
      <c r="IB97" s="456"/>
      <c r="IC97" s="456"/>
      <c r="ID97" s="456"/>
      <c r="IE97" s="456"/>
      <c r="IF97" s="456"/>
      <c r="IG97" s="456"/>
      <c r="IH97" s="456"/>
      <c r="II97" s="456"/>
      <c r="IJ97" s="456"/>
      <c r="IK97" s="456"/>
      <c r="IL97" s="456"/>
      <c r="IM97" s="456"/>
      <c r="IN97" s="457"/>
      <c r="IO97" s="457"/>
      <c r="IP97" s="456"/>
      <c r="IQ97" s="456"/>
      <c r="IR97" s="456"/>
      <c r="IS97" s="456"/>
      <c r="IT97" s="456"/>
      <c r="IU97" s="456"/>
      <c r="IV97" s="456"/>
      <c r="IW97" s="456"/>
      <c r="IX97" s="456"/>
      <c r="IY97" s="456"/>
      <c r="IZ97" s="456"/>
      <c r="JA97" s="456"/>
      <c r="JB97" s="456"/>
      <c r="JC97" s="456"/>
      <c r="JD97" s="456"/>
      <c r="JE97" s="456"/>
      <c r="JF97" s="456"/>
      <c r="JG97" s="456"/>
      <c r="JH97" s="456"/>
      <c r="JI97" s="456"/>
      <c r="JJ97" s="456"/>
      <c r="JK97" s="456"/>
      <c r="JL97" s="456"/>
      <c r="JM97" s="456"/>
      <c r="JN97" s="456"/>
      <c r="JO97" s="456"/>
      <c r="JP97" s="456"/>
      <c r="JQ97" s="456"/>
      <c r="JR97" s="456"/>
      <c r="JS97" s="456"/>
      <c r="JT97" s="456"/>
      <c r="JU97" s="456"/>
      <c r="JV97" s="456"/>
      <c r="JW97" s="456"/>
      <c r="JX97" s="456"/>
      <c r="JY97" s="456"/>
      <c r="JZ97" s="456"/>
      <c r="KA97" s="456"/>
      <c r="KB97" s="456"/>
      <c r="KC97" s="456"/>
      <c r="KD97" s="456"/>
      <c r="KE97" s="456"/>
      <c r="KF97" s="456"/>
    </row>
    <row r="98" spans="1:292" ht="70" hidden="1" customHeight="1">
      <c r="A98" s="170" t="s">
        <v>346</v>
      </c>
      <c r="B98" s="334">
        <v>40</v>
      </c>
      <c r="C98" s="366" t="s">
        <v>331</v>
      </c>
      <c r="D98" s="334"/>
      <c r="E98" s="334"/>
      <c r="F98" s="335">
        <v>45751</v>
      </c>
      <c r="G98" s="78" t="s">
        <v>347</v>
      </c>
      <c r="H98" s="78"/>
      <c r="I98" s="69" t="s">
        <v>132</v>
      </c>
      <c r="J98" s="154" t="s">
        <v>348</v>
      </c>
      <c r="K98" s="245" t="s">
        <v>270</v>
      </c>
      <c r="L98" s="77" t="s">
        <v>34</v>
      </c>
      <c r="M98" s="33">
        <v>45941</v>
      </c>
      <c r="N98" s="42">
        <v>46181</v>
      </c>
      <c r="O98" s="33">
        <v>46137</v>
      </c>
      <c r="P98" s="526">
        <v>45910</v>
      </c>
      <c r="Q98" s="452">
        <f t="shared" si="28"/>
        <v>45960</v>
      </c>
      <c r="R98" s="452">
        <v>46025</v>
      </c>
      <c r="S98" s="58"/>
      <c r="T98" s="585">
        <v>46123</v>
      </c>
      <c r="U98" s="364">
        <f t="shared" si="29"/>
        <v>-14</v>
      </c>
      <c r="V98" s="267" t="s">
        <v>686</v>
      </c>
      <c r="W98" s="600" t="s">
        <v>338</v>
      </c>
      <c r="X98" s="456"/>
      <c r="Y98" s="456"/>
      <c r="Z98" s="456"/>
      <c r="AA98" s="456"/>
      <c r="AB98" s="456"/>
      <c r="AC98" s="456"/>
      <c r="AD98" s="456"/>
      <c r="AE98" s="465"/>
      <c r="AF98" s="465"/>
      <c r="AG98" s="340"/>
      <c r="AH98" s="465"/>
      <c r="AI98" s="465"/>
      <c r="AJ98" s="457"/>
      <c r="AK98" s="457"/>
      <c r="AL98" s="456"/>
      <c r="AM98" s="465"/>
      <c r="AN98" s="465"/>
      <c r="AO98" s="465"/>
      <c r="AP98" s="465"/>
      <c r="AQ98" s="465"/>
      <c r="AR98" s="465"/>
      <c r="AS98" s="465"/>
      <c r="AT98" s="465"/>
      <c r="AU98" s="465"/>
      <c r="AV98" s="465"/>
      <c r="AW98" s="465"/>
      <c r="AX98" s="465"/>
      <c r="AY98" s="465"/>
      <c r="AZ98" s="465"/>
      <c r="BA98" s="590"/>
      <c r="BB98" s="465"/>
      <c r="BC98" s="465"/>
      <c r="BD98" s="465"/>
      <c r="BE98" s="465"/>
      <c r="BF98" s="465"/>
      <c r="BG98" s="465"/>
      <c r="BH98" s="465"/>
      <c r="BI98" s="465"/>
      <c r="BJ98" s="465"/>
      <c r="BK98" s="456"/>
      <c r="BL98" s="456"/>
      <c r="BM98" s="7"/>
      <c r="BN98" s="7"/>
      <c r="BO98" s="465"/>
      <c r="BP98" s="465"/>
      <c r="BQ98" s="505" t="s">
        <v>324</v>
      </c>
      <c r="BR98" s="505"/>
      <c r="BS98" s="603" t="s">
        <v>325</v>
      </c>
      <c r="BT98" s="603"/>
      <c r="BU98" s="603"/>
      <c r="BV98" s="601" t="s">
        <v>272</v>
      </c>
      <c r="BW98" s="602" t="s">
        <v>282</v>
      </c>
      <c r="BX98" s="598" t="s">
        <v>265</v>
      </c>
      <c r="BY98" s="598"/>
      <c r="BZ98" s="598"/>
      <c r="CA98" s="596" t="s">
        <v>261</v>
      </c>
      <c r="CB98" s="596"/>
      <c r="CC98" s="596"/>
      <c r="CD98" s="471" t="s">
        <v>77</v>
      </c>
      <c r="CE98" s="471"/>
      <c r="CF98" s="471"/>
      <c r="CG98" s="622"/>
      <c r="CH98" s="473" t="s">
        <v>66</v>
      </c>
      <c r="CI98" s="473"/>
      <c r="CJ98" s="473"/>
      <c r="CK98" s="592" t="s">
        <v>247</v>
      </c>
      <c r="CL98" s="592"/>
      <c r="CM98" s="457"/>
      <c r="CN98" s="457"/>
      <c r="CO98" s="592"/>
      <c r="CP98" s="592"/>
      <c r="CQ98" s="591" t="s">
        <v>242</v>
      </c>
      <c r="CR98" s="591"/>
      <c r="CS98" s="591"/>
      <c r="CT98" s="3" t="s">
        <v>238</v>
      </c>
      <c r="CU98" s="3" t="s">
        <v>243</v>
      </c>
      <c r="CV98" s="623"/>
      <c r="CW98" s="456"/>
      <c r="CX98" s="457"/>
      <c r="CY98" s="456"/>
      <c r="CZ98" s="456"/>
      <c r="DA98" s="456"/>
      <c r="DB98" s="465"/>
      <c r="DC98" s="465"/>
      <c r="DD98" s="465"/>
      <c r="DE98" s="456"/>
      <c r="DF98" s="465"/>
      <c r="DG98" s="465"/>
      <c r="DH98" s="456"/>
      <c r="DI98" s="456"/>
      <c r="DJ98" s="456"/>
      <c r="DK98" s="456"/>
      <c r="DL98" s="456"/>
      <c r="DM98" s="456"/>
      <c r="DN98" s="456"/>
      <c r="DO98" s="456"/>
      <c r="DP98" s="456"/>
      <c r="DQ98" s="456"/>
      <c r="DR98" s="456"/>
      <c r="DS98" s="456"/>
      <c r="DT98" s="456"/>
      <c r="DU98" s="456"/>
      <c r="DV98" s="456"/>
      <c r="DW98" s="456"/>
      <c r="DX98" s="456"/>
      <c r="DY98" s="456"/>
      <c r="DZ98" s="456"/>
      <c r="EA98" s="456"/>
      <c r="EB98" s="456"/>
      <c r="EC98" s="456"/>
      <c r="ED98" s="456"/>
      <c r="EE98" s="456"/>
      <c r="EF98" s="456"/>
      <c r="EG98" s="456"/>
      <c r="EH98" s="456"/>
      <c r="EI98" s="456"/>
      <c r="EJ98" s="456"/>
      <c r="EK98" s="456"/>
      <c r="EL98" s="457"/>
      <c r="EM98" s="457"/>
      <c r="EN98" s="456"/>
      <c r="EO98" s="456"/>
      <c r="EP98" s="456"/>
      <c r="EQ98" s="456"/>
      <c r="ER98" s="456"/>
      <c r="ES98" s="456"/>
      <c r="ET98" s="456"/>
      <c r="EU98" s="456"/>
      <c r="EV98" s="456"/>
      <c r="EW98" s="456"/>
      <c r="EX98" s="456"/>
      <c r="EY98" s="456"/>
      <c r="EZ98" s="456"/>
      <c r="FA98" s="456"/>
      <c r="FB98" s="456"/>
      <c r="FC98" s="456"/>
      <c r="FD98" s="456"/>
      <c r="FE98" s="456"/>
      <c r="FF98" s="456"/>
      <c r="FG98" s="456"/>
      <c r="FH98" s="456"/>
      <c r="FI98" s="456"/>
      <c r="FJ98" s="456"/>
      <c r="FK98" s="456"/>
      <c r="FL98" s="456"/>
      <c r="FM98" s="456"/>
      <c r="FN98" s="456"/>
      <c r="FO98" s="456"/>
      <c r="FP98" s="456"/>
      <c r="FQ98" s="456"/>
      <c r="FR98" s="456"/>
      <c r="FS98" s="456"/>
      <c r="FT98" s="456"/>
      <c r="FU98" s="456"/>
      <c r="FV98" s="456"/>
      <c r="FW98" s="456"/>
      <c r="FX98" s="456"/>
      <c r="FY98" s="456"/>
      <c r="FZ98" s="456"/>
      <c r="GA98" s="456"/>
      <c r="GB98" s="456"/>
      <c r="GC98" s="456"/>
      <c r="GD98" s="456"/>
      <c r="GE98" s="456"/>
      <c r="GF98" s="456"/>
      <c r="GG98" s="456"/>
      <c r="GH98" s="456"/>
      <c r="GI98" s="456"/>
      <c r="GJ98" s="457"/>
      <c r="GK98" s="457"/>
      <c r="GL98" s="456"/>
      <c r="GM98" s="456"/>
      <c r="GN98" s="456"/>
      <c r="GO98" s="456"/>
      <c r="GP98" s="456"/>
      <c r="GQ98" s="456"/>
      <c r="GR98" s="456"/>
      <c r="GS98" s="456"/>
      <c r="GT98" s="456"/>
      <c r="GU98" s="456"/>
      <c r="GV98" s="456"/>
      <c r="GW98" s="456"/>
      <c r="GX98" s="456"/>
      <c r="GY98" s="456"/>
      <c r="GZ98" s="456"/>
      <c r="HA98" s="456"/>
      <c r="HB98" s="456"/>
      <c r="HC98" s="456"/>
      <c r="HD98" s="456"/>
      <c r="HE98" s="456"/>
      <c r="HF98" s="456"/>
      <c r="HG98" s="456"/>
      <c r="HH98" s="456"/>
      <c r="HI98" s="456"/>
      <c r="HJ98" s="456"/>
      <c r="HK98" s="456"/>
      <c r="HL98" s="456"/>
      <c r="HM98" s="456"/>
      <c r="HN98" s="456"/>
      <c r="HO98" s="456"/>
      <c r="HP98" s="465"/>
      <c r="HQ98" s="456"/>
      <c r="HR98" s="456"/>
      <c r="HS98" s="456"/>
      <c r="HT98" s="456"/>
      <c r="HU98" s="456"/>
      <c r="HV98" s="456"/>
      <c r="HW98" s="456"/>
      <c r="HX98" s="456"/>
      <c r="HY98" s="456"/>
      <c r="HZ98" s="456"/>
      <c r="IA98" s="456"/>
      <c r="IB98" s="456"/>
      <c r="IC98" s="456"/>
      <c r="ID98" s="456"/>
      <c r="IE98" s="456"/>
      <c r="IF98" s="456"/>
      <c r="IG98" s="456"/>
      <c r="IH98" s="456"/>
      <c r="II98" s="456"/>
      <c r="IJ98" s="456"/>
      <c r="IK98" s="456"/>
      <c r="IL98" s="456"/>
      <c r="IM98" s="456"/>
      <c r="IN98" s="457"/>
      <c r="IO98" s="457"/>
      <c r="IP98" s="456"/>
      <c r="IQ98" s="456"/>
      <c r="IR98" s="456"/>
      <c r="IS98" s="456"/>
      <c r="IT98" s="456"/>
      <c r="IU98" s="456"/>
      <c r="IV98" s="456"/>
      <c r="IW98" s="456"/>
      <c r="IX98" s="456"/>
      <c r="IY98" s="456"/>
      <c r="IZ98" s="456"/>
      <c r="JA98" s="456"/>
      <c r="JB98" s="456"/>
      <c r="JC98" s="456"/>
      <c r="JD98" s="456"/>
      <c r="JE98" s="456"/>
      <c r="JF98" s="456"/>
      <c r="JG98" s="456"/>
      <c r="JH98" s="456"/>
      <c r="JI98" s="456"/>
      <c r="JJ98" s="456"/>
      <c r="JK98" s="456"/>
      <c r="JL98" s="456"/>
      <c r="JM98" s="456"/>
      <c r="JN98" s="456"/>
      <c r="JO98" s="456"/>
      <c r="JP98" s="456"/>
      <c r="JQ98" s="456"/>
      <c r="JR98" s="456"/>
      <c r="JS98" s="456"/>
      <c r="JT98" s="456"/>
      <c r="JU98" s="456"/>
      <c r="JV98" s="456"/>
      <c r="JW98" s="456"/>
      <c r="JX98" s="456"/>
      <c r="JY98" s="456"/>
      <c r="JZ98" s="456"/>
      <c r="KA98" s="456"/>
      <c r="KB98" s="456"/>
      <c r="KC98" s="456"/>
      <c r="KD98" s="456"/>
      <c r="KE98" s="456"/>
      <c r="KF98" s="456"/>
    </row>
    <row r="99" spans="1:292" ht="70" customHeight="1">
      <c r="A99" s="170" t="s">
        <v>349</v>
      </c>
      <c r="B99" s="334">
        <v>41</v>
      </c>
      <c r="C99" s="366" t="s">
        <v>331</v>
      </c>
      <c r="D99" s="334"/>
      <c r="E99" s="334"/>
      <c r="F99" s="335">
        <v>45988</v>
      </c>
      <c r="G99" s="78" t="s">
        <v>350</v>
      </c>
      <c r="H99" s="78"/>
      <c r="I99" s="41" t="s">
        <v>680</v>
      </c>
      <c r="J99" s="154" t="s">
        <v>352</v>
      </c>
      <c r="K99" s="245" t="s">
        <v>270</v>
      </c>
      <c r="L99" s="594" t="s">
        <v>73</v>
      </c>
      <c r="M99" s="33">
        <v>45987</v>
      </c>
      <c r="N99" s="42">
        <v>46191</v>
      </c>
      <c r="O99" s="33">
        <v>46191</v>
      </c>
      <c r="P99" s="526">
        <f>P98+17.5</f>
        <v>45927.5</v>
      </c>
      <c r="Q99" s="452">
        <v>45976</v>
      </c>
      <c r="R99" s="452">
        <v>46046</v>
      </c>
      <c r="S99" s="58"/>
      <c r="T99" s="585">
        <v>46172</v>
      </c>
      <c r="U99" s="364">
        <f t="shared" si="29"/>
        <v>-19</v>
      </c>
      <c r="V99" s="267" t="s">
        <v>777</v>
      </c>
      <c r="W99" s="600" t="s">
        <v>338</v>
      </c>
      <c r="X99" s="456"/>
      <c r="Y99" s="456"/>
      <c r="Z99" s="456"/>
      <c r="AA99" s="456"/>
      <c r="AB99" s="456"/>
      <c r="AC99" s="456"/>
      <c r="AD99" s="456"/>
      <c r="AE99" s="465"/>
      <c r="AF99" s="465"/>
      <c r="AG99" s="340"/>
      <c r="AH99" s="465"/>
      <c r="AI99" s="465"/>
      <c r="AJ99" s="457"/>
      <c r="AK99" s="457"/>
      <c r="AL99" s="456"/>
      <c r="AM99" s="465"/>
      <c r="AN99" s="465"/>
      <c r="AO99" s="465"/>
      <c r="AP99" s="465"/>
      <c r="AQ99" s="465"/>
      <c r="AR99" s="465"/>
      <c r="AS99" s="465"/>
      <c r="AT99" s="465"/>
      <c r="AU99" s="465"/>
      <c r="AV99" s="465"/>
      <c r="AW99" s="465"/>
      <c r="AX99" s="465"/>
      <c r="AY99" s="465"/>
      <c r="AZ99" s="465"/>
      <c r="BA99" s="590"/>
      <c r="BB99" s="465"/>
      <c r="BC99" s="465"/>
      <c r="BD99" s="465"/>
      <c r="BE99" s="465"/>
      <c r="BF99" s="465"/>
      <c r="BG99" s="465"/>
      <c r="BH99" s="465"/>
      <c r="BI99" s="465"/>
      <c r="BJ99" s="465"/>
      <c r="BK99" s="465"/>
      <c r="BL99" s="456"/>
      <c r="BM99" s="465"/>
      <c r="BN99" s="465"/>
      <c r="BO99" s="465"/>
      <c r="BP99" s="465"/>
      <c r="BQ99" s="465"/>
      <c r="BR99" s="465"/>
      <c r="BS99" s="505" t="s">
        <v>324</v>
      </c>
      <c r="BT99" s="505"/>
      <c r="BU99" s="505"/>
      <c r="BV99" s="603" t="s">
        <v>325</v>
      </c>
      <c r="BW99" s="603"/>
      <c r="BX99" s="601" t="s">
        <v>272</v>
      </c>
      <c r="BY99" s="601"/>
      <c r="BZ99" s="602" t="s">
        <v>282</v>
      </c>
      <c r="CA99" s="598" t="s">
        <v>265</v>
      </c>
      <c r="CB99" s="598"/>
      <c r="CC99" s="598"/>
      <c r="CD99" s="596" t="s">
        <v>261</v>
      </c>
      <c r="CE99" s="596"/>
      <c r="CF99" s="596"/>
      <c r="CG99" s="624"/>
      <c r="CH99" s="471" t="s">
        <v>77</v>
      </c>
      <c r="CI99" s="471"/>
      <c r="CJ99" s="471"/>
      <c r="CK99" s="473" t="s">
        <v>66</v>
      </c>
      <c r="CL99" s="473"/>
      <c r="CM99" s="457"/>
      <c r="CN99" s="457"/>
      <c r="CO99" s="473"/>
      <c r="CP99" s="473"/>
      <c r="CQ99" s="592" t="s">
        <v>247</v>
      </c>
      <c r="CR99" s="592"/>
      <c r="CS99" s="592"/>
      <c r="CT99" s="591" t="s">
        <v>242</v>
      </c>
      <c r="CU99" s="591"/>
      <c r="CV99" s="591"/>
      <c r="CW99" s="591"/>
      <c r="CX99" s="457"/>
      <c r="CY99" s="591"/>
      <c r="CZ99" s="591"/>
      <c r="DA99" s="3" t="s">
        <v>238</v>
      </c>
      <c r="DB99" s="3" t="s">
        <v>243</v>
      </c>
      <c r="DC99" s="516" t="s">
        <v>130</v>
      </c>
      <c r="DD99" s="465"/>
      <c r="DE99" s="465"/>
      <c r="DF99" s="465"/>
      <c r="DG99" s="456"/>
      <c r="DH99" s="465"/>
      <c r="DI99" s="465"/>
      <c r="DJ99" s="456"/>
      <c r="DK99" s="456"/>
      <c r="DL99" s="456"/>
      <c r="DM99" s="456"/>
      <c r="DN99" s="456"/>
      <c r="DO99" s="456"/>
      <c r="DP99" s="456"/>
      <c r="DQ99" s="456"/>
      <c r="DR99" s="456"/>
      <c r="DS99" s="456"/>
      <c r="DT99" s="456"/>
      <c r="DU99" s="456"/>
      <c r="DV99" s="456"/>
      <c r="DW99" s="456"/>
      <c r="DX99" s="456"/>
      <c r="DY99" s="456"/>
      <c r="DZ99" s="456"/>
      <c r="EA99" s="456"/>
      <c r="EB99" s="456"/>
      <c r="EC99" s="456"/>
      <c r="ED99" s="456"/>
      <c r="EE99" s="456"/>
      <c r="EF99" s="456"/>
      <c r="EG99" s="456"/>
      <c r="EH99" s="456"/>
      <c r="EI99" s="456"/>
      <c r="EJ99" s="456"/>
      <c r="EK99" s="456"/>
      <c r="EL99" s="457"/>
      <c r="EM99" s="457"/>
      <c r="EN99" s="456"/>
      <c r="EO99" s="456"/>
      <c r="EP99" s="456"/>
      <c r="EQ99" s="456"/>
      <c r="ER99" s="456"/>
      <c r="ES99" s="456"/>
      <c r="ET99" s="456"/>
      <c r="EU99" s="456"/>
      <c r="EV99" s="456"/>
      <c r="EW99" s="456"/>
      <c r="EX99" s="456"/>
      <c r="EY99" s="456"/>
      <c r="EZ99" s="456"/>
      <c r="FA99" s="456"/>
      <c r="FB99" s="456"/>
      <c r="FC99" s="456"/>
      <c r="FE99" s="456"/>
      <c r="FF99" s="456"/>
      <c r="FG99" s="456"/>
      <c r="FH99" s="456"/>
      <c r="FI99" s="456"/>
      <c r="FJ99" s="456"/>
      <c r="FK99" s="456"/>
      <c r="FL99" s="456"/>
      <c r="FM99" s="456"/>
      <c r="FN99" s="456"/>
      <c r="FO99" s="456"/>
      <c r="FP99" s="456"/>
      <c r="FQ99" s="456"/>
      <c r="FR99" s="456"/>
      <c r="FS99" s="456"/>
      <c r="FT99" s="456"/>
      <c r="FU99" s="456"/>
      <c r="FV99" s="456"/>
      <c r="FW99" s="456"/>
      <c r="FX99" s="456"/>
      <c r="FY99" s="456"/>
      <c r="FZ99" s="456"/>
      <c r="GA99" s="456"/>
      <c r="GB99" s="456"/>
      <c r="GC99" s="456"/>
      <c r="GD99" s="456"/>
      <c r="GE99" s="456"/>
      <c r="GF99" s="456"/>
      <c r="GG99" s="456"/>
      <c r="GH99" s="456"/>
      <c r="GI99" s="456"/>
      <c r="GJ99" s="457"/>
      <c r="GK99" s="457"/>
      <c r="GL99" s="456"/>
      <c r="GM99" s="456"/>
      <c r="GN99" s="456"/>
      <c r="GO99" s="456"/>
      <c r="GP99" s="456"/>
      <c r="GQ99" s="456"/>
      <c r="GR99" s="456"/>
      <c r="GS99" s="456"/>
      <c r="GT99" s="456"/>
      <c r="GU99" s="456"/>
      <c r="GV99" s="456"/>
      <c r="GW99" s="456"/>
      <c r="GX99" s="456"/>
      <c r="GY99" s="456"/>
      <c r="GZ99" s="456"/>
      <c r="HA99" s="456"/>
      <c r="HB99" s="456"/>
      <c r="HC99" s="456"/>
      <c r="HD99" s="456"/>
      <c r="HE99" s="456"/>
      <c r="HF99" s="456"/>
      <c r="HG99" s="456"/>
      <c r="HH99" s="456"/>
      <c r="HI99" s="456"/>
      <c r="HJ99" s="456"/>
      <c r="HK99" s="456"/>
      <c r="HL99" s="456"/>
      <c r="HM99" s="456"/>
      <c r="HN99" s="456"/>
      <c r="HO99" s="456"/>
      <c r="HP99" s="465"/>
      <c r="HQ99" s="456"/>
      <c r="HR99" s="456"/>
      <c r="HS99" s="456"/>
      <c r="HT99" s="456"/>
      <c r="HU99" s="456"/>
      <c r="HV99" s="456"/>
      <c r="HW99" s="456"/>
      <c r="HX99" s="456"/>
      <c r="HY99" s="456"/>
      <c r="HZ99" s="456"/>
      <c r="IA99" s="456"/>
      <c r="IB99" s="456"/>
      <c r="IC99" s="456"/>
      <c r="ID99" s="456"/>
      <c r="IE99" s="456"/>
      <c r="IF99" s="456"/>
      <c r="IG99" s="456"/>
      <c r="IH99" s="456"/>
      <c r="II99" s="456"/>
      <c r="IJ99" s="456"/>
      <c r="IK99" s="456"/>
      <c r="IL99" s="456"/>
      <c r="IM99" s="456"/>
      <c r="IN99" s="457"/>
      <c r="IO99" s="457"/>
      <c r="IP99" s="456"/>
      <c r="IQ99" s="456"/>
      <c r="IR99" s="456"/>
      <c r="IS99" s="456"/>
      <c r="IT99" s="456"/>
      <c r="IU99" s="456"/>
      <c r="IV99" s="456"/>
      <c r="IW99" s="456"/>
      <c r="IX99" s="456"/>
      <c r="IY99" s="456"/>
      <c r="IZ99" s="456"/>
      <c r="JA99" s="456"/>
      <c r="JB99" s="456"/>
      <c r="JC99" s="456"/>
      <c r="JD99" s="456"/>
      <c r="JE99" s="456"/>
      <c r="JF99" s="456"/>
      <c r="JG99" s="456"/>
      <c r="JH99" s="456"/>
      <c r="JI99" s="456"/>
      <c r="JJ99" s="456"/>
      <c r="JK99" s="456"/>
      <c r="JL99" s="456"/>
      <c r="JM99" s="456"/>
      <c r="JN99" s="456"/>
      <c r="JO99" s="456"/>
      <c r="JP99" s="456"/>
      <c r="JQ99" s="456"/>
      <c r="JR99" s="456"/>
      <c r="JS99" s="456"/>
      <c r="JT99" s="456"/>
      <c r="JU99" s="456"/>
      <c r="JV99" s="456"/>
      <c r="JW99" s="456"/>
      <c r="JX99" s="456"/>
      <c r="JY99" s="456"/>
      <c r="JZ99" s="456"/>
      <c r="KA99" s="456"/>
      <c r="KB99" s="456"/>
      <c r="KC99" s="456"/>
      <c r="KD99" s="456"/>
      <c r="KE99" s="456"/>
      <c r="KF99" s="456"/>
    </row>
    <row r="100" spans="1:292" ht="70" customHeight="1">
      <c r="A100" s="170" t="s">
        <v>353</v>
      </c>
      <c r="B100" s="334">
        <v>42</v>
      </c>
      <c r="C100" s="334"/>
      <c r="D100" s="334"/>
      <c r="E100" s="334"/>
      <c r="F100" s="335">
        <v>46008</v>
      </c>
      <c r="G100" s="78" t="s">
        <v>354</v>
      </c>
      <c r="H100" s="78"/>
      <c r="I100" s="69" t="s">
        <v>132</v>
      </c>
      <c r="J100" s="154" t="s">
        <v>355</v>
      </c>
      <c r="K100" s="245" t="s">
        <v>270</v>
      </c>
      <c r="L100" s="594" t="s">
        <v>73</v>
      </c>
      <c r="M100" s="33">
        <v>45924</v>
      </c>
      <c r="N100" s="42">
        <v>46149</v>
      </c>
      <c r="O100" s="33">
        <v>46150</v>
      </c>
      <c r="P100" s="526">
        <f t="shared" ref="P100:P102" si="30">P99+17.5</f>
        <v>45945</v>
      </c>
      <c r="Q100" s="452">
        <v>45962</v>
      </c>
      <c r="R100" s="452">
        <v>46088</v>
      </c>
      <c r="S100" s="58"/>
      <c r="T100" s="585">
        <f>T99+42</f>
        <v>46214</v>
      </c>
      <c r="U100" s="364">
        <f t="shared" si="29"/>
        <v>64</v>
      </c>
      <c r="V100" s="270" t="s">
        <v>776</v>
      </c>
      <c r="W100" s="600" t="s">
        <v>356</v>
      </c>
      <c r="X100" s="456"/>
      <c r="Y100" s="456"/>
      <c r="Z100" s="456"/>
      <c r="AA100" s="456"/>
      <c r="AB100" s="456"/>
      <c r="AC100" s="456"/>
      <c r="AD100" s="456"/>
      <c r="AE100" s="465"/>
      <c r="AF100" s="465"/>
      <c r="AG100" s="340"/>
      <c r="AH100" s="465"/>
      <c r="AI100" s="465"/>
      <c r="AJ100" s="457"/>
      <c r="AK100" s="457"/>
      <c r="AL100" s="456"/>
      <c r="AM100" s="465"/>
      <c r="AN100" s="465"/>
      <c r="AO100" s="465"/>
      <c r="AP100" s="465"/>
      <c r="AQ100" s="465"/>
      <c r="AR100" s="465"/>
      <c r="AS100" s="465"/>
      <c r="AT100" s="465"/>
      <c r="AU100" s="465"/>
      <c r="AV100" s="465"/>
      <c r="AW100" s="465"/>
      <c r="AX100" s="465"/>
      <c r="AY100" s="465"/>
      <c r="AZ100" s="465"/>
      <c r="BA100" s="590"/>
      <c r="BB100" s="465"/>
      <c r="BC100" s="465"/>
      <c r="BD100" s="465"/>
      <c r="BE100" s="465"/>
      <c r="BF100" s="465"/>
      <c r="BG100" s="465"/>
      <c r="BH100" s="465"/>
      <c r="BI100" s="465"/>
      <c r="BJ100" s="465"/>
      <c r="BK100" s="465"/>
      <c r="BL100" s="456"/>
      <c r="BM100" s="465"/>
      <c r="BN100" s="465"/>
      <c r="BO100" s="465"/>
      <c r="BP100" s="465"/>
      <c r="BQ100" s="465"/>
      <c r="BR100" s="7"/>
      <c r="BS100" s="7"/>
      <c r="BT100" s="465"/>
      <c r="BU100" s="465"/>
      <c r="BV100" s="505" t="s">
        <v>324</v>
      </c>
      <c r="BW100" s="505"/>
      <c r="BX100" s="603" t="s">
        <v>325</v>
      </c>
      <c r="BY100" s="603"/>
      <c r="BZ100" s="603"/>
      <c r="CA100" s="601" t="s">
        <v>272</v>
      </c>
      <c r="CB100" s="601"/>
      <c r="CC100" s="602" t="s">
        <v>282</v>
      </c>
      <c r="CD100" s="598" t="s">
        <v>265</v>
      </c>
      <c r="CE100" s="598"/>
      <c r="CF100" s="598"/>
      <c r="CG100" s="625"/>
      <c r="CH100" s="596" t="s">
        <v>261</v>
      </c>
      <c r="CI100" s="596"/>
      <c r="CJ100" s="596"/>
      <c r="CK100" s="471" t="s">
        <v>77</v>
      </c>
      <c r="CL100" s="471"/>
      <c r="CM100" s="457"/>
      <c r="CN100" s="457"/>
      <c r="CO100" s="471"/>
      <c r="CP100" s="471"/>
      <c r="CQ100" s="473" t="s">
        <v>66</v>
      </c>
      <c r="CR100" s="473"/>
      <c r="CS100" s="473"/>
      <c r="CT100" s="592" t="s">
        <v>247</v>
      </c>
      <c r="CU100" s="592"/>
      <c r="CV100" s="592"/>
      <c r="CW100" s="592"/>
      <c r="CX100" s="457"/>
      <c r="CY100" s="592"/>
      <c r="CZ100" s="592"/>
      <c r="DA100" s="591" t="s">
        <v>242</v>
      </c>
      <c r="DB100" s="591"/>
      <c r="DC100" s="591"/>
      <c r="DD100" s="591"/>
      <c r="DE100" s="591"/>
      <c r="DF100" s="591"/>
      <c r="DG100" s="3" t="s">
        <v>238</v>
      </c>
      <c r="DH100" s="3" t="s">
        <v>243</v>
      </c>
      <c r="DI100" s="516" t="s">
        <v>130</v>
      </c>
      <c r="DJ100" s="456"/>
      <c r="DK100" s="456"/>
      <c r="DL100" s="456"/>
      <c r="DM100" s="456"/>
      <c r="DN100" s="456"/>
      <c r="DO100" s="456"/>
      <c r="DP100" s="456"/>
      <c r="DQ100" s="456"/>
      <c r="DR100" s="456"/>
      <c r="DS100" s="456"/>
      <c r="DT100" s="456"/>
      <c r="DU100" s="456"/>
      <c r="DV100" s="456"/>
      <c r="DW100" s="456"/>
      <c r="DX100" s="456"/>
      <c r="DY100" s="456"/>
      <c r="DZ100" s="456"/>
      <c r="EA100" s="456"/>
      <c r="EB100" s="456"/>
      <c r="EC100" s="456"/>
      <c r="ED100" s="456"/>
      <c r="EE100" s="456"/>
      <c r="EF100" s="456"/>
      <c r="EG100" s="456"/>
      <c r="EH100" s="456"/>
      <c r="EI100" s="456"/>
      <c r="EJ100" s="456"/>
      <c r="EK100" s="456"/>
      <c r="EL100" s="457"/>
      <c r="EM100" s="457"/>
      <c r="EN100" s="456"/>
      <c r="EO100" s="456"/>
      <c r="EP100" s="456"/>
      <c r="EQ100" s="456"/>
      <c r="ER100" s="456"/>
      <c r="ES100" s="456"/>
      <c r="ET100" s="456"/>
      <c r="EU100" s="456"/>
      <c r="EV100" s="456"/>
      <c r="EW100" s="456"/>
      <c r="EX100" s="456"/>
      <c r="EY100" s="456"/>
      <c r="EZ100" s="456"/>
      <c r="FA100" s="456"/>
      <c r="FB100" s="456"/>
      <c r="FC100" s="456"/>
      <c r="FE100" s="456"/>
      <c r="FF100" s="456"/>
      <c r="FG100" s="456"/>
      <c r="FH100" s="456"/>
      <c r="FI100" s="456"/>
      <c r="FJ100" s="456"/>
      <c r="FK100" s="456"/>
      <c r="FL100" s="456"/>
      <c r="FM100" s="456"/>
      <c r="FN100" s="456"/>
      <c r="FO100" s="456"/>
      <c r="FP100" s="456"/>
      <c r="FQ100" s="456"/>
      <c r="FR100" s="456"/>
      <c r="FS100" s="456"/>
      <c r="FT100" s="456"/>
      <c r="FU100" s="456"/>
      <c r="FV100" s="456"/>
      <c r="FW100" s="456"/>
      <c r="FX100" s="456"/>
      <c r="FY100" s="456"/>
      <c r="FZ100" s="456"/>
      <c r="GA100" s="456"/>
      <c r="GB100" s="456"/>
      <c r="GC100" s="456"/>
      <c r="GD100" s="456"/>
      <c r="GE100" s="456"/>
      <c r="GF100" s="456"/>
      <c r="GG100" s="456"/>
      <c r="GH100" s="456"/>
      <c r="GI100" s="456"/>
      <c r="GJ100" s="457"/>
      <c r="GK100" s="457"/>
      <c r="GL100" s="456"/>
      <c r="GM100" s="456"/>
      <c r="GN100" s="456"/>
      <c r="GO100" s="456"/>
      <c r="GP100" s="456"/>
      <c r="GQ100" s="456"/>
      <c r="GR100" s="456"/>
      <c r="GS100" s="456"/>
      <c r="GT100" s="456"/>
      <c r="GU100" s="456"/>
      <c r="GV100" s="456"/>
      <c r="GW100" s="456"/>
      <c r="GX100" s="456"/>
      <c r="GY100" s="456"/>
      <c r="GZ100" s="456"/>
      <c r="HA100" s="456"/>
      <c r="HB100" s="456"/>
      <c r="HC100" s="456"/>
      <c r="HD100" s="456"/>
      <c r="HE100" s="456"/>
      <c r="HF100" s="456"/>
      <c r="HG100" s="456"/>
      <c r="HH100" s="456"/>
      <c r="HI100" s="456"/>
      <c r="HJ100" s="456"/>
      <c r="HK100" s="456"/>
      <c r="HL100" s="456"/>
      <c r="HM100" s="456"/>
      <c r="HN100" s="456"/>
      <c r="HO100" s="456"/>
      <c r="HP100" s="465"/>
      <c r="HQ100" s="456"/>
      <c r="HR100" s="456"/>
      <c r="HS100" s="456"/>
      <c r="HT100" s="456"/>
      <c r="HU100" s="456"/>
      <c r="HV100" s="456"/>
      <c r="HW100" s="456"/>
      <c r="HX100" s="456"/>
      <c r="HY100" s="456"/>
      <c r="HZ100" s="456"/>
      <c r="IA100" s="456"/>
      <c r="IB100" s="456"/>
      <c r="IC100" s="456"/>
      <c r="ID100" s="456"/>
      <c r="IE100" s="456"/>
      <c r="IF100" s="456"/>
      <c r="IG100" s="456"/>
      <c r="IH100" s="456"/>
      <c r="II100" s="456"/>
      <c r="IJ100" s="456"/>
      <c r="IK100" s="456"/>
      <c r="IL100" s="456"/>
      <c r="IM100" s="456"/>
      <c r="IN100" s="457"/>
      <c r="IO100" s="457"/>
      <c r="IP100" s="456"/>
      <c r="IQ100" s="456"/>
      <c r="IR100" s="456"/>
      <c r="IS100" s="456"/>
      <c r="IT100" s="456"/>
      <c r="IU100" s="456"/>
      <c r="IV100" s="456"/>
      <c r="IW100" s="456"/>
      <c r="IX100" s="456"/>
      <c r="IY100" s="456"/>
      <c r="IZ100" s="456"/>
      <c r="JA100" s="456"/>
      <c r="JB100" s="456"/>
      <c r="JC100" s="456"/>
      <c r="JD100" s="456"/>
      <c r="JE100" s="456"/>
      <c r="JF100" s="456"/>
      <c r="JG100" s="456"/>
      <c r="JH100" s="456"/>
      <c r="JI100" s="456"/>
      <c r="JJ100" s="456"/>
      <c r="JK100" s="456"/>
      <c r="JL100" s="456"/>
      <c r="JM100" s="456"/>
      <c r="JN100" s="456"/>
      <c r="JO100" s="456"/>
      <c r="JP100" s="456"/>
      <c r="JQ100" s="456"/>
      <c r="JR100" s="456"/>
      <c r="JS100" s="456"/>
      <c r="JT100" s="456"/>
      <c r="JU100" s="456"/>
      <c r="JV100" s="456"/>
      <c r="JW100" s="456"/>
      <c r="JX100" s="456"/>
      <c r="JY100" s="456"/>
      <c r="JZ100" s="456"/>
      <c r="KA100" s="456"/>
      <c r="KB100" s="456"/>
      <c r="KC100" s="456"/>
      <c r="KD100" s="456"/>
      <c r="KE100" s="456"/>
      <c r="KF100" s="456"/>
    </row>
    <row r="101" spans="1:292" ht="70" customHeight="1">
      <c r="A101" s="170" t="s">
        <v>357</v>
      </c>
      <c r="B101" s="334">
        <v>43</v>
      </c>
      <c r="C101" s="334"/>
      <c r="D101" s="334"/>
      <c r="E101" s="334"/>
      <c r="F101" s="335">
        <v>45896</v>
      </c>
      <c r="G101" s="78" t="s">
        <v>358</v>
      </c>
      <c r="H101" s="78"/>
      <c r="I101" s="69" t="s">
        <v>132</v>
      </c>
      <c r="J101" s="154" t="s">
        <v>359</v>
      </c>
      <c r="K101" s="245"/>
      <c r="L101" s="594" t="s">
        <v>73</v>
      </c>
      <c r="M101" s="33">
        <v>46070</v>
      </c>
      <c r="N101" s="135">
        <v>46179</v>
      </c>
      <c r="O101" s="33">
        <v>46296</v>
      </c>
      <c r="P101" s="526">
        <f t="shared" si="30"/>
        <v>45962.5</v>
      </c>
      <c r="Q101" s="452">
        <v>45983</v>
      </c>
      <c r="R101" s="452">
        <v>46109</v>
      </c>
      <c r="S101" s="58"/>
      <c r="T101" s="585">
        <f t="shared" ref="T101:T104" si="31">T100+42</f>
        <v>46256</v>
      </c>
      <c r="U101" s="364">
        <f t="shared" si="29"/>
        <v>-40</v>
      </c>
      <c r="V101" s="270" t="s">
        <v>778</v>
      </c>
      <c r="W101" s="600" t="s">
        <v>356</v>
      </c>
      <c r="X101" s="456"/>
      <c r="Y101" s="456"/>
      <c r="Z101" s="456"/>
      <c r="AA101" s="456"/>
      <c r="AB101" s="456"/>
      <c r="AC101" s="456"/>
      <c r="AD101" s="456"/>
      <c r="AE101" s="465"/>
      <c r="AF101" s="465"/>
      <c r="AG101" s="340"/>
      <c r="AH101" s="465"/>
      <c r="AI101" s="465"/>
      <c r="AJ101" s="457"/>
      <c r="AK101" s="457"/>
      <c r="AL101" s="456"/>
      <c r="AM101" s="465"/>
      <c r="AN101" s="465"/>
      <c r="AO101" s="465"/>
      <c r="AP101" s="465"/>
      <c r="AQ101" s="465"/>
      <c r="AR101" s="465"/>
      <c r="AS101" s="465"/>
      <c r="AT101" s="465"/>
      <c r="AU101" s="465"/>
      <c r="AV101" s="465"/>
      <c r="AW101" s="465"/>
      <c r="AX101" s="465"/>
      <c r="AY101" s="465"/>
      <c r="AZ101" s="465"/>
      <c r="BA101" s="590"/>
      <c r="BB101" s="465"/>
      <c r="BC101" s="465"/>
      <c r="BD101" s="465"/>
      <c r="BE101" s="465"/>
      <c r="BF101" s="465"/>
      <c r="BG101" s="465"/>
      <c r="BH101" s="465"/>
      <c r="BI101" s="465"/>
      <c r="BJ101" s="465"/>
      <c r="BK101" s="465"/>
      <c r="BL101" s="456"/>
      <c r="BM101" s="465"/>
      <c r="BN101" s="465"/>
      <c r="BO101" s="465"/>
      <c r="BP101" s="465"/>
      <c r="BQ101" s="465"/>
      <c r="BR101" s="465"/>
      <c r="BS101" s="610"/>
      <c r="BT101" s="465"/>
      <c r="BU101" s="465"/>
      <c r="BV101" s="465"/>
      <c r="BW101" s="465"/>
      <c r="BX101" s="505" t="s">
        <v>324</v>
      </c>
      <c r="BY101" s="505"/>
      <c r="BZ101" s="505"/>
      <c r="CA101" s="603" t="s">
        <v>325</v>
      </c>
      <c r="CB101" s="603"/>
      <c r="CC101" s="603"/>
      <c r="CD101" s="601" t="s">
        <v>272</v>
      </c>
      <c r="CE101" s="601"/>
      <c r="CF101" s="601"/>
      <c r="CG101" s="626" t="s">
        <v>282</v>
      </c>
      <c r="CH101" s="598" t="s">
        <v>265</v>
      </c>
      <c r="CI101" s="598"/>
      <c r="CJ101" s="598"/>
      <c r="CK101" s="596" t="s">
        <v>261</v>
      </c>
      <c r="CL101" s="596"/>
      <c r="CM101" s="457"/>
      <c r="CN101" s="457"/>
      <c r="CO101" s="596"/>
      <c r="CP101" s="596"/>
      <c r="CQ101" s="471" t="s">
        <v>77</v>
      </c>
      <c r="CR101" s="471"/>
      <c r="CS101" s="471"/>
      <c r="CT101" s="473" t="s">
        <v>66</v>
      </c>
      <c r="CU101" s="473"/>
      <c r="CV101" s="473"/>
      <c r="CW101" s="473"/>
      <c r="CX101" s="457"/>
      <c r="CY101" s="473"/>
      <c r="CZ101" s="473"/>
      <c r="DA101" s="592" t="s">
        <v>247</v>
      </c>
      <c r="DB101" s="592"/>
      <c r="DC101" s="592"/>
      <c r="DD101" s="592"/>
      <c r="DE101" s="592"/>
      <c r="DF101" s="592"/>
      <c r="DG101" s="591" t="s">
        <v>242</v>
      </c>
      <c r="DH101" s="591"/>
      <c r="DI101" s="591"/>
      <c r="DJ101" s="591"/>
      <c r="DK101" s="591"/>
      <c r="DL101" s="591"/>
      <c r="DM101" s="3" t="s">
        <v>238</v>
      </c>
      <c r="DN101" s="3" t="s">
        <v>243</v>
      </c>
      <c r="DO101" s="516" t="s">
        <v>130</v>
      </c>
      <c r="DP101" s="456"/>
      <c r="DQ101" s="456"/>
      <c r="DR101" s="456"/>
      <c r="DS101" s="456"/>
      <c r="DT101" s="456"/>
      <c r="DU101" s="456"/>
      <c r="DV101" s="456"/>
      <c r="DW101" s="456"/>
      <c r="DX101" s="456"/>
      <c r="DY101" s="456"/>
      <c r="DZ101" s="456"/>
      <c r="EA101" s="456"/>
      <c r="EB101" s="456"/>
      <c r="EC101" s="456"/>
      <c r="ED101" s="456"/>
      <c r="EE101" s="456"/>
      <c r="EF101" s="456"/>
      <c r="EG101" s="456"/>
      <c r="EH101" s="456"/>
      <c r="EI101" s="456"/>
      <c r="EJ101" s="456"/>
      <c r="EK101" s="456"/>
      <c r="EL101" s="457"/>
      <c r="EM101" s="457"/>
      <c r="EN101" s="456"/>
      <c r="EO101" s="456"/>
      <c r="EP101" s="456"/>
      <c r="EQ101" s="456"/>
      <c r="ER101" s="456"/>
      <c r="ES101" s="456"/>
      <c r="ET101" s="456"/>
      <c r="EU101" s="456"/>
      <c r="EV101" s="456"/>
      <c r="EW101" s="456"/>
      <c r="EX101" s="456"/>
      <c r="EY101" s="456"/>
      <c r="EZ101" s="456"/>
      <c r="FA101" s="456"/>
      <c r="FB101" s="456"/>
      <c r="FC101" s="456"/>
      <c r="FE101" s="456"/>
      <c r="FF101" s="456"/>
      <c r="FG101" s="456"/>
      <c r="FH101" s="456"/>
      <c r="FI101" s="456"/>
      <c r="FJ101" s="456"/>
      <c r="FK101" s="456"/>
      <c r="FL101" s="456"/>
      <c r="FM101" s="456"/>
      <c r="FN101" s="456"/>
      <c r="FO101" s="456"/>
      <c r="FP101" s="456"/>
      <c r="FQ101" s="456"/>
      <c r="FR101" s="456"/>
      <c r="FS101" s="456"/>
      <c r="FT101" s="456"/>
      <c r="FU101" s="456"/>
      <c r="FV101" s="456"/>
      <c r="FW101" s="456"/>
      <c r="FX101" s="456"/>
      <c r="FY101" s="456"/>
      <c r="FZ101" s="456"/>
      <c r="GA101" s="456"/>
      <c r="GB101" s="456"/>
      <c r="GC101" s="456"/>
      <c r="GD101" s="456"/>
      <c r="GE101" s="456"/>
      <c r="GF101" s="456"/>
      <c r="GG101" s="456"/>
      <c r="GH101" s="456"/>
      <c r="GI101" s="456"/>
      <c r="GJ101" s="457"/>
      <c r="GK101" s="457"/>
      <c r="GL101" s="456"/>
      <c r="GM101" s="456"/>
      <c r="GN101" s="456"/>
      <c r="GO101" s="456"/>
      <c r="GP101" s="456"/>
      <c r="GQ101" s="456"/>
      <c r="GR101" s="456"/>
      <c r="GS101" s="456"/>
      <c r="GT101" s="456"/>
      <c r="GU101" s="456"/>
      <c r="GV101" s="456"/>
      <c r="GW101" s="456"/>
      <c r="GX101" s="456"/>
      <c r="GY101" s="456"/>
      <c r="GZ101" s="456"/>
      <c r="HA101" s="456"/>
      <c r="HB101" s="456"/>
      <c r="HC101" s="456"/>
      <c r="HD101" s="456"/>
      <c r="HE101" s="456"/>
      <c r="HF101" s="456"/>
      <c r="HG101" s="456"/>
      <c r="HH101" s="456"/>
      <c r="HI101" s="456"/>
      <c r="HJ101" s="456"/>
      <c r="HK101" s="456"/>
      <c r="HL101" s="456"/>
      <c r="HM101" s="456"/>
      <c r="HN101" s="456"/>
      <c r="HO101" s="456"/>
      <c r="HP101" s="465"/>
      <c r="HQ101" s="456"/>
      <c r="HR101" s="456"/>
      <c r="HS101" s="456"/>
      <c r="HT101" s="456"/>
      <c r="HU101" s="456"/>
      <c r="HV101" s="456"/>
      <c r="HW101" s="456"/>
      <c r="HX101" s="456"/>
      <c r="HY101" s="456"/>
      <c r="HZ101" s="456"/>
      <c r="IA101" s="456"/>
      <c r="IB101" s="456"/>
      <c r="IC101" s="456"/>
      <c r="ID101" s="456"/>
      <c r="IE101" s="456"/>
      <c r="IF101" s="456"/>
      <c r="IG101" s="456"/>
      <c r="IH101" s="456"/>
      <c r="II101" s="456"/>
      <c r="IJ101" s="456"/>
      <c r="IK101" s="456"/>
      <c r="IL101" s="456"/>
      <c r="IM101" s="456"/>
      <c r="IN101" s="457"/>
      <c r="IO101" s="457"/>
      <c r="IP101" s="456"/>
      <c r="IQ101" s="456"/>
      <c r="IR101" s="456"/>
      <c r="IS101" s="456"/>
      <c r="IT101" s="456"/>
      <c r="IU101" s="456"/>
      <c r="IV101" s="456"/>
      <c r="IW101" s="456"/>
      <c r="IX101" s="456"/>
      <c r="IY101" s="456"/>
      <c r="IZ101" s="456"/>
      <c r="JA101" s="456"/>
      <c r="JB101" s="456"/>
      <c r="JC101" s="456"/>
      <c r="JD101" s="456"/>
      <c r="JE101" s="456"/>
      <c r="JF101" s="456"/>
      <c r="JG101" s="456"/>
      <c r="JH101" s="456"/>
      <c r="JI101" s="456"/>
      <c r="JJ101" s="456"/>
      <c r="JK101" s="456"/>
      <c r="JL101" s="456"/>
      <c r="JM101" s="456"/>
      <c r="JN101" s="456"/>
      <c r="JO101" s="456"/>
      <c r="JP101" s="456"/>
      <c r="JQ101" s="456"/>
      <c r="JR101" s="456"/>
      <c r="JS101" s="456"/>
      <c r="JT101" s="456"/>
      <c r="JU101" s="456"/>
      <c r="JV101" s="456"/>
      <c r="JW101" s="456"/>
      <c r="JX101" s="456"/>
      <c r="JY101" s="456"/>
      <c r="JZ101" s="456"/>
      <c r="KA101" s="456"/>
      <c r="KB101" s="456"/>
      <c r="KC101" s="456"/>
      <c r="KD101" s="456"/>
      <c r="KE101" s="456"/>
      <c r="KF101" s="456"/>
    </row>
    <row r="102" spans="1:292" ht="70" customHeight="1">
      <c r="A102" s="170" t="s">
        <v>360</v>
      </c>
      <c r="B102" s="334">
        <v>44</v>
      </c>
      <c r="C102" s="334"/>
      <c r="D102" s="334"/>
      <c r="E102" s="334"/>
      <c r="F102" s="335">
        <v>45800</v>
      </c>
      <c r="G102" s="78" t="s">
        <v>361</v>
      </c>
      <c r="H102" s="78"/>
      <c r="I102" s="105" t="s">
        <v>723</v>
      </c>
      <c r="J102" s="154" t="s">
        <v>362</v>
      </c>
      <c r="K102" s="245" t="s">
        <v>270</v>
      </c>
      <c r="L102" s="77" t="s">
        <v>34</v>
      </c>
      <c r="M102" s="33">
        <v>45955</v>
      </c>
      <c r="N102" s="42">
        <v>46261</v>
      </c>
      <c r="O102" s="33">
        <v>46181</v>
      </c>
      <c r="P102" s="36">
        <f t="shared" si="30"/>
        <v>45980</v>
      </c>
      <c r="Q102" s="452">
        <v>46004</v>
      </c>
      <c r="R102" s="452">
        <v>46151</v>
      </c>
      <c r="S102" s="87"/>
      <c r="T102" s="585">
        <f t="shared" si="31"/>
        <v>46298</v>
      </c>
      <c r="U102" s="364">
        <f t="shared" si="29"/>
        <v>117</v>
      </c>
      <c r="V102" s="270" t="s">
        <v>779</v>
      </c>
      <c r="W102" s="600" t="s">
        <v>356</v>
      </c>
      <c r="X102" s="456"/>
      <c r="Y102" s="456"/>
      <c r="Z102" s="456"/>
      <c r="AA102" s="456"/>
      <c r="AB102" s="456"/>
      <c r="AC102" s="456"/>
      <c r="AD102" s="456"/>
      <c r="AE102" s="465"/>
      <c r="AF102" s="465"/>
      <c r="AG102" s="340"/>
      <c r="AH102" s="465"/>
      <c r="AI102" s="465"/>
      <c r="AJ102" s="457"/>
      <c r="AK102" s="457"/>
      <c r="AL102" s="456"/>
      <c r="AM102" s="465"/>
      <c r="AN102" s="465"/>
      <c r="AO102" s="465"/>
      <c r="AP102" s="465"/>
      <c r="AQ102" s="465"/>
      <c r="AR102" s="465"/>
      <c r="AS102" s="7"/>
      <c r="AT102" s="7"/>
      <c r="AU102" s="465"/>
      <c r="AV102" s="456"/>
      <c r="AW102" s="456"/>
      <c r="AX102" s="456"/>
      <c r="AY102" s="456"/>
      <c r="AZ102" s="456"/>
      <c r="BA102" s="456"/>
      <c r="BB102" s="456"/>
      <c r="BC102" s="456"/>
      <c r="BD102" s="465"/>
      <c r="BE102" s="465"/>
      <c r="BF102" s="465"/>
      <c r="BG102" s="465"/>
      <c r="BH102" s="465"/>
      <c r="BI102" s="465"/>
      <c r="BJ102" s="465"/>
      <c r="BK102" s="465"/>
      <c r="BL102" s="456"/>
      <c r="BM102" s="465"/>
      <c r="BN102" s="465"/>
      <c r="BO102" s="465"/>
      <c r="BP102" s="465"/>
      <c r="BQ102" s="465"/>
      <c r="BR102" s="465"/>
      <c r="BS102" s="610"/>
      <c r="BT102" s="465"/>
      <c r="BU102" s="465"/>
      <c r="BV102" s="465"/>
      <c r="BW102" s="465"/>
      <c r="BX102" s="7"/>
      <c r="BY102" s="465"/>
      <c r="BZ102" s="465"/>
      <c r="CA102" s="505" t="s">
        <v>324</v>
      </c>
      <c r="CB102" s="505"/>
      <c r="CC102" s="505"/>
      <c r="CD102" s="603" t="s">
        <v>325</v>
      </c>
      <c r="CE102" s="603"/>
      <c r="CF102" s="603"/>
      <c r="CG102" s="627"/>
      <c r="CH102" s="601" t="s">
        <v>272</v>
      </c>
      <c r="CI102" s="601"/>
      <c r="CJ102" s="602" t="s">
        <v>282</v>
      </c>
      <c r="CK102" s="598" t="s">
        <v>265</v>
      </c>
      <c r="CL102" s="598"/>
      <c r="CM102" s="457"/>
      <c r="CN102" s="457"/>
      <c r="CO102" s="598"/>
      <c r="CP102" s="598"/>
      <c r="CQ102" s="596" t="s">
        <v>261</v>
      </c>
      <c r="CR102" s="596"/>
      <c r="CS102" s="596"/>
      <c r="CT102" s="471" t="s">
        <v>77</v>
      </c>
      <c r="CU102" s="471"/>
      <c r="CV102" s="471"/>
      <c r="CW102" s="471"/>
      <c r="CX102" s="457"/>
      <c r="CY102" s="471"/>
      <c r="CZ102" s="471"/>
      <c r="DA102" s="473" t="s">
        <v>66</v>
      </c>
      <c r="DB102" s="473"/>
      <c r="DC102" s="473"/>
      <c r="DD102" s="473"/>
      <c r="DE102" s="473"/>
      <c r="DF102" s="473"/>
      <c r="DG102" s="592" t="s">
        <v>247</v>
      </c>
      <c r="DH102" s="592"/>
      <c r="DI102" s="592"/>
      <c r="DJ102" s="592"/>
      <c r="DK102" s="592"/>
      <c r="DL102" s="592"/>
      <c r="DM102" s="591" t="s">
        <v>242</v>
      </c>
      <c r="DN102" s="591"/>
      <c r="DO102" s="591"/>
      <c r="DP102" s="591"/>
      <c r="DQ102" s="591"/>
      <c r="DR102" s="591"/>
      <c r="DS102" s="3" t="s">
        <v>238</v>
      </c>
      <c r="DT102" s="3" t="s">
        <v>243</v>
      </c>
      <c r="DU102" s="456"/>
      <c r="DV102" s="456"/>
      <c r="DW102" s="456"/>
      <c r="DX102" s="456"/>
      <c r="DY102" s="456"/>
      <c r="DZ102" s="456"/>
      <c r="EA102" s="456"/>
      <c r="EB102" s="456"/>
      <c r="EC102" s="456"/>
      <c r="ED102" s="456"/>
      <c r="EE102" s="456"/>
      <c r="EF102" s="456"/>
      <c r="EG102" s="456"/>
      <c r="EH102" s="456"/>
      <c r="EI102" s="456"/>
      <c r="EJ102" s="456"/>
      <c r="EK102" s="456"/>
      <c r="EL102" s="457"/>
      <c r="EM102" s="457"/>
      <c r="EN102" s="456"/>
      <c r="EO102" s="456"/>
      <c r="EP102" s="456"/>
      <c r="EQ102" s="456"/>
      <c r="ER102" s="456"/>
      <c r="ES102" s="456"/>
      <c r="ET102" s="456"/>
      <c r="EU102" s="456"/>
      <c r="EV102" s="456"/>
      <c r="EW102" s="456"/>
      <c r="EX102" s="456"/>
      <c r="EY102" s="456"/>
      <c r="EZ102" s="456"/>
      <c r="FA102" s="456"/>
      <c r="FB102" s="456"/>
      <c r="FC102" s="456"/>
      <c r="FE102" s="456"/>
      <c r="FF102" s="456"/>
      <c r="FG102" s="456"/>
      <c r="FH102" s="456"/>
      <c r="FI102" s="456"/>
      <c r="FJ102" s="456"/>
      <c r="FK102" s="456"/>
      <c r="FL102" s="456"/>
      <c r="FM102" s="456"/>
      <c r="FN102" s="456"/>
      <c r="FO102" s="456"/>
      <c r="FP102" s="456"/>
      <c r="FQ102" s="456"/>
      <c r="FR102" s="456"/>
      <c r="FS102" s="456"/>
      <c r="FT102" s="456"/>
      <c r="FU102" s="456"/>
      <c r="FV102" s="456"/>
      <c r="FW102" s="456"/>
      <c r="FX102" s="456"/>
      <c r="FY102" s="456"/>
      <c r="FZ102" s="456"/>
      <c r="GA102" s="456"/>
      <c r="GB102" s="456"/>
      <c r="GC102" s="456"/>
      <c r="GD102" s="456"/>
      <c r="GE102" s="456"/>
      <c r="GF102" s="456"/>
      <c r="GG102" s="456"/>
      <c r="GH102" s="456"/>
      <c r="GI102" s="456"/>
      <c r="GJ102" s="457"/>
      <c r="GK102" s="457"/>
      <c r="GL102" s="456"/>
      <c r="GM102" s="456"/>
      <c r="GN102" s="456"/>
      <c r="GO102" s="456"/>
      <c r="GP102" s="456"/>
      <c r="GQ102" s="456"/>
      <c r="GR102" s="456"/>
      <c r="GS102" s="456"/>
      <c r="GT102" s="456"/>
      <c r="GU102" s="456"/>
      <c r="GV102" s="456"/>
      <c r="GW102" s="456"/>
      <c r="GX102" s="456"/>
      <c r="GY102" s="456"/>
      <c r="GZ102" s="456"/>
      <c r="HA102" s="456"/>
      <c r="HB102" s="456"/>
      <c r="HC102" s="456"/>
      <c r="HD102" s="456"/>
      <c r="HE102" s="456"/>
      <c r="HF102" s="456"/>
      <c r="HG102" s="456"/>
      <c r="HH102" s="456"/>
      <c r="HI102" s="456"/>
      <c r="HJ102" s="456"/>
      <c r="HK102" s="456"/>
      <c r="HL102" s="456"/>
      <c r="HM102" s="456"/>
      <c r="HN102" s="456"/>
      <c r="HO102" s="456"/>
      <c r="HP102" s="465"/>
      <c r="HQ102" s="456"/>
      <c r="HR102" s="456"/>
      <c r="HS102" s="456"/>
      <c r="HT102" s="456"/>
      <c r="HU102" s="456"/>
      <c r="HV102" s="456"/>
      <c r="HW102" s="456"/>
      <c r="HX102" s="456"/>
      <c r="HY102" s="456"/>
      <c r="HZ102" s="456"/>
      <c r="IA102" s="456"/>
      <c r="IB102" s="456"/>
      <c r="IC102" s="456"/>
      <c r="ID102" s="456"/>
      <c r="IE102" s="456"/>
      <c r="IF102" s="456"/>
      <c r="IG102" s="456"/>
      <c r="IH102" s="456"/>
      <c r="II102" s="456"/>
      <c r="IJ102" s="456"/>
      <c r="IK102" s="456"/>
      <c r="IL102" s="456"/>
      <c r="IM102" s="456"/>
      <c r="IN102" s="457"/>
      <c r="IO102" s="457"/>
      <c r="IP102" s="456"/>
      <c r="IQ102" s="456"/>
      <c r="IR102" s="456"/>
      <c r="IS102" s="456"/>
      <c r="IT102" s="456"/>
      <c r="IU102" s="456"/>
      <c r="IV102" s="456"/>
      <c r="IW102" s="456"/>
      <c r="IX102" s="456"/>
      <c r="IY102" s="456"/>
      <c r="IZ102" s="456"/>
      <c r="JA102" s="456"/>
      <c r="JB102" s="456"/>
      <c r="JC102" s="456"/>
      <c r="JD102" s="456"/>
      <c r="JE102" s="456"/>
      <c r="JF102" s="456"/>
      <c r="JG102" s="456"/>
      <c r="JH102" s="456"/>
      <c r="JI102" s="456"/>
      <c r="JJ102" s="456"/>
      <c r="JK102" s="456"/>
      <c r="JL102" s="456"/>
      <c r="JM102" s="456"/>
      <c r="JN102" s="456"/>
      <c r="JO102" s="456"/>
      <c r="JP102" s="456"/>
      <c r="JQ102" s="456"/>
      <c r="JR102" s="456"/>
      <c r="JS102" s="456"/>
      <c r="JT102" s="456"/>
      <c r="JU102" s="456"/>
      <c r="JV102" s="456"/>
      <c r="JW102" s="456"/>
      <c r="JX102" s="456"/>
      <c r="JY102" s="456"/>
      <c r="JZ102" s="456"/>
      <c r="KA102" s="456"/>
      <c r="KB102" s="456"/>
      <c r="KC102" s="456"/>
      <c r="KD102" s="456"/>
      <c r="KE102" s="456"/>
      <c r="KF102" s="456"/>
    </row>
    <row r="103" spans="1:292" ht="70" customHeight="1">
      <c r="A103" s="170" t="s">
        <v>363</v>
      </c>
      <c r="B103" s="334">
        <v>45</v>
      </c>
      <c r="C103" s="334" t="s">
        <v>107</v>
      </c>
      <c r="D103" s="334"/>
      <c r="E103" s="334"/>
      <c r="F103" s="335" t="s">
        <v>704</v>
      </c>
      <c r="G103" s="78" t="s">
        <v>364</v>
      </c>
      <c r="H103" s="78"/>
      <c r="I103" s="104" t="s">
        <v>54</v>
      </c>
      <c r="J103" s="156" t="s">
        <v>115</v>
      </c>
      <c r="K103" s="245"/>
      <c r="L103" s="41" t="s">
        <v>55</v>
      </c>
      <c r="M103" s="33"/>
      <c r="N103" s="42"/>
      <c r="O103" s="33"/>
      <c r="P103" s="628">
        <v>46004</v>
      </c>
      <c r="Q103" s="628">
        <v>46025</v>
      </c>
      <c r="R103" s="628">
        <v>46200</v>
      </c>
      <c r="S103" s="87"/>
      <c r="T103" s="585">
        <f t="shared" si="31"/>
        <v>46340</v>
      </c>
      <c r="U103" s="364"/>
      <c r="V103" s="267" t="s">
        <v>780</v>
      </c>
      <c r="W103" s="600" t="s">
        <v>356</v>
      </c>
      <c r="X103" s="456"/>
      <c r="Y103" s="456"/>
      <c r="Z103" s="456"/>
      <c r="AA103" s="456"/>
      <c r="AB103" s="456"/>
      <c r="AC103" s="456"/>
      <c r="AD103" s="456"/>
      <c r="AE103" s="465"/>
      <c r="AF103" s="465"/>
      <c r="AG103" s="340"/>
      <c r="AH103" s="465"/>
      <c r="AI103" s="465"/>
      <c r="AJ103" s="457"/>
      <c r="AK103" s="457"/>
      <c r="AL103" s="456"/>
      <c r="AM103" s="465"/>
      <c r="AN103" s="465"/>
      <c r="AO103" s="465"/>
      <c r="AP103" s="465"/>
      <c r="AQ103" s="465"/>
      <c r="AR103" s="465"/>
      <c r="AS103" s="7"/>
      <c r="AT103" s="7"/>
      <c r="AU103" s="465"/>
      <c r="AV103" s="465"/>
      <c r="AW103" s="465"/>
      <c r="AX103" s="465"/>
      <c r="AY103" s="465"/>
      <c r="AZ103" s="465"/>
      <c r="BA103" s="465"/>
      <c r="BB103" s="465"/>
      <c r="BC103" s="590"/>
      <c r="BD103" s="465"/>
      <c r="BE103" s="465"/>
      <c r="BF103" s="465"/>
      <c r="BG103" s="465"/>
      <c r="BH103" s="465"/>
      <c r="BI103" s="465"/>
      <c r="BJ103" s="465"/>
      <c r="BK103" s="465"/>
      <c r="BL103" s="456"/>
      <c r="BM103" s="465"/>
      <c r="BN103" s="465"/>
      <c r="BO103" s="465"/>
      <c r="BP103" s="465"/>
      <c r="BQ103" s="465"/>
      <c r="BR103" s="465"/>
      <c r="BS103" s="610"/>
      <c r="BT103" s="465"/>
      <c r="BU103" s="465"/>
      <c r="BV103" s="465"/>
      <c r="BW103" s="7"/>
      <c r="BX103" s="465"/>
      <c r="BY103" s="465"/>
      <c r="BZ103" s="465"/>
      <c r="CA103" s="465"/>
      <c r="CB103" s="465"/>
      <c r="CC103" s="456"/>
      <c r="CD103" s="505" t="s">
        <v>324</v>
      </c>
      <c r="CE103" s="505"/>
      <c r="CF103" s="505"/>
      <c r="CG103" s="627" t="s">
        <v>325</v>
      </c>
      <c r="CH103" s="603"/>
      <c r="CI103" s="603"/>
      <c r="CJ103" s="603"/>
      <c r="CK103" s="601" t="s">
        <v>272</v>
      </c>
      <c r="CL103" s="601"/>
      <c r="CM103" s="457"/>
      <c r="CN103" s="457"/>
      <c r="CO103" s="602" t="s">
        <v>282</v>
      </c>
      <c r="CP103" s="602" t="s">
        <v>282</v>
      </c>
      <c r="CQ103" s="598"/>
      <c r="CR103" s="598"/>
      <c r="CS103" s="598"/>
      <c r="CT103" s="596" t="s">
        <v>261</v>
      </c>
      <c r="CU103" s="596"/>
      <c r="CV103" s="596"/>
      <c r="CW103" s="596"/>
      <c r="CX103" s="457"/>
      <c r="CY103" s="596"/>
      <c r="CZ103" s="596"/>
      <c r="DA103" s="471" t="s">
        <v>77</v>
      </c>
      <c r="DB103" s="471"/>
      <c r="DC103" s="471"/>
      <c r="DD103" s="471"/>
      <c r="DE103" s="471"/>
      <c r="DF103" s="471"/>
      <c r="DG103" s="473" t="s">
        <v>66</v>
      </c>
      <c r="DH103" s="473"/>
      <c r="DI103" s="473"/>
      <c r="DJ103" s="473"/>
      <c r="DK103" s="473"/>
      <c r="DL103" s="473"/>
      <c r="DM103" s="592" t="s">
        <v>247</v>
      </c>
      <c r="DN103" s="592"/>
      <c r="DO103" s="592"/>
      <c r="DP103" s="592"/>
      <c r="DQ103" s="592"/>
      <c r="DR103" s="592"/>
      <c r="DS103" s="591" t="s">
        <v>242</v>
      </c>
      <c r="DT103" s="591"/>
      <c r="DU103" s="591"/>
      <c r="DV103" s="591"/>
      <c r="DW103" s="591"/>
      <c r="DX103" s="591"/>
      <c r="DY103" s="3" t="s">
        <v>238</v>
      </c>
      <c r="DZ103" s="3" t="s">
        <v>243</v>
      </c>
      <c r="EA103" s="456"/>
      <c r="EB103" s="456"/>
      <c r="EC103" s="456"/>
      <c r="ED103" s="456"/>
      <c r="EE103" s="456"/>
      <c r="EF103" s="456"/>
      <c r="EG103" s="456"/>
      <c r="EH103" s="456"/>
      <c r="EI103" s="456"/>
      <c r="EJ103" s="456"/>
      <c r="EK103" s="456"/>
      <c r="EL103" s="457"/>
      <c r="EM103" s="457"/>
      <c r="EN103" s="456"/>
      <c r="EO103" s="456"/>
      <c r="EP103" s="456"/>
      <c r="EQ103" s="456"/>
      <c r="ER103" s="456"/>
      <c r="ES103" s="456"/>
      <c r="ET103" s="456"/>
      <c r="EU103" s="456"/>
      <c r="EV103" s="456"/>
      <c r="EW103" s="456"/>
      <c r="EX103" s="456"/>
      <c r="EY103" s="456"/>
      <c r="EZ103" s="456"/>
      <c r="FA103" s="456"/>
      <c r="FB103" s="456"/>
      <c r="FC103" s="456"/>
      <c r="FE103" s="456"/>
      <c r="FF103" s="456"/>
      <c r="FG103" s="456"/>
      <c r="FH103" s="456"/>
      <c r="FI103" s="456"/>
      <c r="FJ103" s="456"/>
      <c r="FK103" s="456"/>
      <c r="FL103" s="456"/>
      <c r="FM103" s="456"/>
      <c r="FN103" s="456"/>
      <c r="FO103" s="456"/>
      <c r="FP103" s="456"/>
      <c r="FQ103" s="456"/>
      <c r="FR103" s="456"/>
      <c r="FS103" s="456"/>
      <c r="FT103" s="456"/>
      <c r="FU103" s="456"/>
      <c r="FV103" s="456"/>
      <c r="FW103" s="456"/>
      <c r="FX103" s="456"/>
      <c r="FY103" s="456"/>
      <c r="FZ103" s="456"/>
      <c r="GA103" s="456"/>
      <c r="GB103" s="456"/>
      <c r="GC103" s="456"/>
      <c r="GD103" s="456"/>
      <c r="GE103" s="456"/>
      <c r="GF103" s="456"/>
      <c r="GG103" s="456"/>
      <c r="GH103" s="456"/>
      <c r="GI103" s="456"/>
      <c r="GJ103" s="457"/>
      <c r="GK103" s="457"/>
      <c r="GL103" s="456"/>
      <c r="GM103" s="456"/>
      <c r="GN103" s="456"/>
      <c r="GO103" s="456"/>
      <c r="GP103" s="456"/>
      <c r="GQ103" s="456"/>
      <c r="GR103" s="456"/>
      <c r="GS103" s="456"/>
      <c r="GT103" s="456"/>
      <c r="GU103" s="456"/>
      <c r="GV103" s="456"/>
      <c r="GW103" s="456"/>
      <c r="GX103" s="456"/>
      <c r="GY103" s="456"/>
      <c r="GZ103" s="456"/>
      <c r="HA103" s="456"/>
      <c r="HB103" s="456"/>
      <c r="HC103" s="456"/>
      <c r="HD103" s="456"/>
      <c r="HE103" s="456"/>
      <c r="HF103" s="456"/>
      <c r="HG103" s="456"/>
      <c r="HH103" s="456"/>
      <c r="HI103" s="456"/>
      <c r="HJ103" s="456"/>
      <c r="HK103" s="456"/>
      <c r="HL103" s="456"/>
      <c r="HM103" s="456"/>
      <c r="HN103" s="456"/>
      <c r="HO103" s="456"/>
      <c r="HP103" s="465"/>
      <c r="HQ103" s="456"/>
      <c r="HR103" s="456"/>
      <c r="HS103" s="456"/>
      <c r="HT103" s="456"/>
      <c r="HU103" s="456"/>
      <c r="HV103" s="456"/>
      <c r="HW103" s="456"/>
      <c r="HX103" s="456"/>
      <c r="HY103" s="456"/>
      <c r="HZ103" s="456"/>
      <c r="IA103" s="456"/>
      <c r="IB103" s="456"/>
      <c r="IC103" s="456"/>
      <c r="ID103" s="456"/>
      <c r="IE103" s="456"/>
      <c r="IF103" s="456"/>
      <c r="IG103" s="456"/>
      <c r="IH103" s="456"/>
      <c r="II103" s="456"/>
      <c r="IJ103" s="456"/>
      <c r="IK103" s="456"/>
      <c r="IL103" s="456"/>
      <c r="IM103" s="456"/>
      <c r="IN103" s="457"/>
      <c r="IO103" s="457"/>
      <c r="IP103" s="456"/>
      <c r="IQ103" s="456"/>
      <c r="IR103" s="456"/>
      <c r="IS103" s="456"/>
      <c r="IT103" s="456"/>
      <c r="IU103" s="456"/>
      <c r="IV103" s="456"/>
      <c r="IW103" s="456"/>
      <c r="IX103" s="456"/>
      <c r="IY103" s="456"/>
      <c r="IZ103" s="456"/>
      <c r="JA103" s="456"/>
      <c r="JB103" s="456"/>
      <c r="JC103" s="456"/>
      <c r="JD103" s="456"/>
      <c r="JE103" s="456"/>
      <c r="JF103" s="456"/>
      <c r="JG103" s="456"/>
      <c r="JH103" s="456"/>
      <c r="JI103" s="456"/>
      <c r="JJ103" s="456"/>
      <c r="JK103" s="456"/>
      <c r="JL103" s="456"/>
      <c r="JM103" s="456"/>
      <c r="JN103" s="456"/>
      <c r="JO103" s="456"/>
      <c r="JP103" s="456"/>
      <c r="JQ103" s="456"/>
      <c r="JR103" s="456"/>
      <c r="JS103" s="456"/>
      <c r="JT103" s="456"/>
      <c r="JU103" s="456"/>
      <c r="JV103" s="456"/>
      <c r="JW103" s="456"/>
      <c r="JX103" s="456"/>
      <c r="JY103" s="456"/>
      <c r="JZ103" s="456"/>
      <c r="KA103" s="456"/>
      <c r="KB103" s="456"/>
      <c r="KC103" s="456"/>
      <c r="KD103" s="456"/>
      <c r="KE103" s="456"/>
      <c r="KF103" s="456"/>
    </row>
    <row r="104" spans="1:292" ht="70" customHeight="1">
      <c r="A104" s="170" t="s">
        <v>365</v>
      </c>
      <c r="B104" s="334">
        <v>46</v>
      </c>
      <c r="C104" s="334" t="s">
        <v>107</v>
      </c>
      <c r="D104" s="334"/>
      <c r="E104" s="334"/>
      <c r="F104" s="335">
        <v>45834</v>
      </c>
      <c r="G104" s="78" t="s">
        <v>366</v>
      </c>
      <c r="H104" s="78"/>
      <c r="I104" s="41" t="s">
        <v>680</v>
      </c>
      <c r="J104" s="154" t="s">
        <v>367</v>
      </c>
      <c r="K104" s="245" t="s">
        <v>270</v>
      </c>
      <c r="L104" s="158" t="s">
        <v>73</v>
      </c>
      <c r="M104" s="33">
        <v>46028</v>
      </c>
      <c r="N104" s="42">
        <v>46591</v>
      </c>
      <c r="O104" s="33">
        <v>46254</v>
      </c>
      <c r="P104" s="628">
        <v>46025</v>
      </c>
      <c r="Q104" s="628">
        <v>46053</v>
      </c>
      <c r="R104" s="628">
        <f t="shared" ref="R104:R108" si="32">R103+42</f>
        <v>46242</v>
      </c>
      <c r="S104" s="87"/>
      <c r="T104" s="585">
        <f t="shared" si="31"/>
        <v>46382</v>
      </c>
      <c r="U104" s="364">
        <f t="shared" si="29"/>
        <v>128</v>
      </c>
      <c r="V104" s="267" t="s">
        <v>781</v>
      </c>
      <c r="W104" s="600" t="s">
        <v>356</v>
      </c>
      <c r="X104" s="456"/>
      <c r="Y104" s="456"/>
      <c r="Z104" s="456"/>
      <c r="AA104" s="456"/>
      <c r="AB104" s="456"/>
      <c r="AC104" s="456"/>
      <c r="AD104" s="456"/>
      <c r="AE104" s="465"/>
      <c r="AF104" s="465"/>
      <c r="AG104" s="340"/>
      <c r="AH104" s="465"/>
      <c r="AI104" s="465"/>
      <c r="AJ104" s="457"/>
      <c r="AK104" s="457"/>
      <c r="AL104" s="456"/>
      <c r="AM104" s="465"/>
      <c r="AN104" s="465"/>
      <c r="AO104" s="465"/>
      <c r="AP104" s="465"/>
      <c r="AQ104" s="465"/>
      <c r="AR104" s="465"/>
      <c r="AS104" s="7"/>
      <c r="AT104" s="7"/>
      <c r="AU104" s="465"/>
      <c r="AV104" s="465"/>
      <c r="AW104" s="465"/>
      <c r="AX104" s="465"/>
      <c r="AY104" s="465"/>
      <c r="AZ104" s="465"/>
      <c r="BA104" s="465"/>
      <c r="BB104" s="465"/>
      <c r="BC104" s="590"/>
      <c r="BD104" s="465"/>
      <c r="BE104" s="465"/>
      <c r="BF104" s="465"/>
      <c r="BG104" s="465"/>
      <c r="BH104" s="465"/>
      <c r="BI104" s="465"/>
      <c r="BJ104" s="465"/>
      <c r="BK104" s="465"/>
      <c r="BL104" s="456"/>
      <c r="BM104" s="465"/>
      <c r="BN104" s="465"/>
      <c r="BO104" s="465"/>
      <c r="BP104" s="465"/>
      <c r="BQ104" s="465"/>
      <c r="BR104" s="465"/>
      <c r="BS104" s="610"/>
      <c r="BT104" s="465"/>
      <c r="BU104" s="465"/>
      <c r="BV104" s="465"/>
      <c r="BW104" s="465"/>
      <c r="BX104" s="465"/>
      <c r="BY104" s="465"/>
      <c r="BZ104" s="465"/>
      <c r="CA104" s="465"/>
      <c r="CB104" s="7"/>
      <c r="CC104" s="7"/>
      <c r="CD104" s="465"/>
      <c r="CE104" s="456"/>
      <c r="CF104" s="456"/>
      <c r="CG104" s="629" t="s">
        <v>324</v>
      </c>
      <c r="CH104" s="505"/>
      <c r="CI104" s="505"/>
      <c r="CJ104" s="505"/>
      <c r="CK104" s="603" t="s">
        <v>325</v>
      </c>
      <c r="CL104" s="603"/>
      <c r="CM104" s="457"/>
      <c r="CN104" s="457"/>
      <c r="CO104" s="603"/>
      <c r="CP104" s="603"/>
      <c r="CQ104" s="601"/>
      <c r="CR104" s="601"/>
      <c r="CS104" s="602" t="s">
        <v>282</v>
      </c>
      <c r="CT104" s="598" t="s">
        <v>265</v>
      </c>
      <c r="CU104" s="598"/>
      <c r="CV104" s="598"/>
      <c r="CW104" s="598"/>
      <c r="CX104" s="457"/>
      <c r="CY104" s="598"/>
      <c r="CZ104" s="598"/>
      <c r="DA104" s="596" t="s">
        <v>261</v>
      </c>
      <c r="DB104" s="596"/>
      <c r="DC104" s="596"/>
      <c r="DD104" s="596"/>
      <c r="DE104" s="596"/>
      <c r="DF104" s="596"/>
      <c r="DG104" s="471" t="s">
        <v>77</v>
      </c>
      <c r="DH104" s="471"/>
      <c r="DI104" s="471"/>
      <c r="DJ104" s="471"/>
      <c r="DK104" s="471"/>
      <c r="DL104" s="471"/>
      <c r="DM104" s="473" t="s">
        <v>66</v>
      </c>
      <c r="DN104" s="473"/>
      <c r="DO104" s="473"/>
      <c r="DP104" s="473"/>
      <c r="DQ104" s="473"/>
      <c r="DR104" s="473"/>
      <c r="DS104" s="592" t="s">
        <v>247</v>
      </c>
      <c r="DT104" s="592"/>
      <c r="DU104" s="592"/>
      <c r="DV104" s="592"/>
      <c r="DW104" s="592"/>
      <c r="DX104" s="592"/>
      <c r="DY104" s="591" t="s">
        <v>242</v>
      </c>
      <c r="DZ104" s="591"/>
      <c r="EA104" s="591"/>
      <c r="EB104" s="591"/>
      <c r="EC104" s="591"/>
      <c r="ED104" s="591"/>
      <c r="EE104" s="3" t="s">
        <v>238</v>
      </c>
      <c r="EF104" s="3" t="s">
        <v>243</v>
      </c>
      <c r="EG104" s="516" t="s">
        <v>130</v>
      </c>
      <c r="EH104" s="456"/>
      <c r="EI104" s="456"/>
      <c r="EJ104" s="456"/>
      <c r="EK104" s="456"/>
      <c r="EL104" s="457"/>
      <c r="EM104" s="457"/>
      <c r="EN104" s="456"/>
      <c r="EO104" s="456"/>
      <c r="EP104" s="456"/>
      <c r="EQ104" s="456"/>
      <c r="ER104" s="456"/>
      <c r="ES104" s="456"/>
      <c r="ET104" s="456"/>
      <c r="EU104" s="456"/>
      <c r="EV104" s="456"/>
      <c r="EW104" s="456"/>
      <c r="EX104" s="456"/>
      <c r="EY104" s="456"/>
      <c r="EZ104" s="456"/>
      <c r="FA104" s="456"/>
      <c r="FB104" s="456"/>
      <c r="FC104" s="456"/>
      <c r="FE104" s="456"/>
      <c r="FF104" s="456"/>
      <c r="FG104" s="456"/>
      <c r="FH104" s="456"/>
      <c r="FI104" s="456"/>
      <c r="FJ104" s="456"/>
      <c r="FK104" s="456"/>
      <c r="FL104" s="456"/>
      <c r="FM104" s="456"/>
      <c r="FN104" s="456"/>
      <c r="FO104" s="456"/>
      <c r="FP104" s="456"/>
      <c r="FQ104" s="456"/>
      <c r="FR104" s="456"/>
      <c r="FS104" s="456"/>
      <c r="FT104" s="456"/>
      <c r="FU104" s="456"/>
      <c r="FV104" s="456"/>
      <c r="FW104" s="456"/>
      <c r="FX104" s="456"/>
      <c r="FY104" s="456"/>
      <c r="FZ104" s="456"/>
      <c r="GA104" s="456"/>
      <c r="GB104" s="456"/>
      <c r="GC104" s="456"/>
      <c r="GD104" s="456"/>
      <c r="GE104" s="456"/>
      <c r="GF104" s="456"/>
      <c r="GG104" s="456"/>
      <c r="GH104" s="456"/>
      <c r="GI104" s="456"/>
      <c r="GJ104" s="457"/>
      <c r="GK104" s="457"/>
      <c r="GL104" s="456"/>
      <c r="GM104" s="456"/>
      <c r="GN104" s="456"/>
      <c r="GO104" s="456"/>
      <c r="GP104" s="456"/>
      <c r="GQ104" s="456"/>
      <c r="GR104" s="456"/>
      <c r="GS104" s="456"/>
      <c r="GT104" s="456"/>
      <c r="GU104" s="456"/>
      <c r="GV104" s="456"/>
      <c r="GW104" s="456"/>
      <c r="GX104" s="456"/>
      <c r="GY104" s="456"/>
      <c r="GZ104" s="456"/>
      <c r="HA104" s="456"/>
      <c r="HB104" s="456"/>
      <c r="HC104" s="456"/>
      <c r="HD104" s="456"/>
      <c r="HE104" s="456"/>
      <c r="HF104" s="456"/>
      <c r="HG104" s="456"/>
      <c r="HH104" s="456"/>
      <c r="HI104" s="456"/>
      <c r="HJ104" s="456"/>
      <c r="HK104" s="456"/>
      <c r="HL104" s="456"/>
      <c r="HM104" s="456"/>
      <c r="HN104" s="456"/>
      <c r="HO104" s="456"/>
      <c r="HP104" s="465"/>
      <c r="HQ104" s="456"/>
      <c r="HR104" s="456"/>
      <c r="HS104" s="456"/>
      <c r="HT104" s="456"/>
      <c r="HU104" s="456"/>
      <c r="HV104" s="456"/>
      <c r="HW104" s="456"/>
      <c r="HX104" s="456"/>
      <c r="HY104" s="456"/>
      <c r="HZ104" s="456"/>
      <c r="IA104" s="456"/>
      <c r="IB104" s="456"/>
      <c r="IC104" s="456"/>
      <c r="ID104" s="456"/>
      <c r="IE104" s="456"/>
      <c r="IF104" s="456"/>
      <c r="IG104" s="456"/>
      <c r="IH104" s="456"/>
      <c r="II104" s="456"/>
      <c r="IJ104" s="456"/>
      <c r="IK104" s="456"/>
      <c r="IL104" s="456"/>
      <c r="IM104" s="456"/>
      <c r="IN104" s="457"/>
      <c r="IO104" s="457"/>
      <c r="IP104" s="456"/>
      <c r="IQ104" s="456"/>
      <c r="IR104" s="456"/>
      <c r="IS104" s="456"/>
      <c r="IT104" s="456"/>
      <c r="IU104" s="456"/>
      <c r="IV104" s="456"/>
      <c r="IW104" s="456"/>
      <c r="IX104" s="456"/>
      <c r="IY104" s="456"/>
      <c r="IZ104" s="456"/>
      <c r="JA104" s="456"/>
      <c r="JB104" s="456"/>
      <c r="JC104" s="456"/>
      <c r="JD104" s="456"/>
      <c r="JE104" s="456"/>
      <c r="JF104" s="456"/>
      <c r="JG104" s="456"/>
      <c r="JH104" s="456"/>
      <c r="JI104" s="456"/>
      <c r="JJ104" s="456"/>
      <c r="JK104" s="456"/>
      <c r="JL104" s="456"/>
      <c r="JM104" s="456"/>
      <c r="JN104" s="456"/>
      <c r="JO104" s="456"/>
      <c r="JP104" s="456"/>
      <c r="JQ104" s="456"/>
      <c r="JR104" s="456"/>
      <c r="JS104" s="456"/>
      <c r="JT104" s="456"/>
      <c r="JU104" s="456"/>
      <c r="JV104" s="456"/>
      <c r="JW104" s="456"/>
      <c r="JX104" s="456"/>
      <c r="JY104" s="456"/>
      <c r="JZ104" s="456"/>
      <c r="KA104" s="456"/>
      <c r="KB104" s="456"/>
      <c r="KC104" s="456"/>
      <c r="KD104" s="456"/>
      <c r="KE104" s="456"/>
      <c r="KF104" s="456"/>
    </row>
    <row r="105" spans="1:292" ht="70" customHeight="1">
      <c r="A105" s="170" t="s">
        <v>368</v>
      </c>
      <c r="B105" s="334">
        <v>47</v>
      </c>
      <c r="C105" s="334" t="s">
        <v>107</v>
      </c>
      <c r="D105" s="334"/>
      <c r="E105" s="334"/>
      <c r="F105" s="335">
        <v>46105</v>
      </c>
      <c r="G105" s="78" t="s">
        <v>370</v>
      </c>
      <c r="H105" s="78"/>
      <c r="I105" s="69" t="s">
        <v>245</v>
      </c>
      <c r="J105" s="154" t="s">
        <v>740</v>
      </c>
      <c r="K105" s="245"/>
      <c r="L105" s="630" t="s">
        <v>34</v>
      </c>
      <c r="M105" s="33"/>
      <c r="N105" s="42"/>
      <c r="O105" s="33">
        <v>46383</v>
      </c>
      <c r="P105" s="628">
        <v>46053</v>
      </c>
      <c r="Q105" s="628">
        <v>46088</v>
      </c>
      <c r="R105" s="628">
        <f t="shared" si="32"/>
        <v>46284</v>
      </c>
      <c r="S105" s="87"/>
      <c r="T105" s="585">
        <f>T104+42</f>
        <v>46424</v>
      </c>
      <c r="U105" s="364">
        <f t="shared" si="29"/>
        <v>41</v>
      </c>
      <c r="V105" s="267" t="s">
        <v>782</v>
      </c>
      <c r="W105" s="600" t="s">
        <v>356</v>
      </c>
      <c r="X105" s="456"/>
      <c r="Y105" s="456"/>
      <c r="Z105" s="456"/>
      <c r="AA105" s="456"/>
      <c r="AB105" s="456"/>
      <c r="AC105" s="456"/>
      <c r="AD105" s="456"/>
      <c r="AE105" s="465"/>
      <c r="AF105" s="465"/>
      <c r="AG105" s="340"/>
      <c r="AH105" s="465"/>
      <c r="AI105" s="465"/>
      <c r="AJ105" s="457"/>
      <c r="AK105" s="457"/>
      <c r="AL105" s="456"/>
      <c r="AM105" s="465"/>
      <c r="AN105" s="465"/>
      <c r="AO105" s="465"/>
      <c r="AP105" s="465"/>
      <c r="AQ105" s="465"/>
      <c r="AR105" s="465"/>
      <c r="AS105" s="7"/>
      <c r="AT105" s="7"/>
      <c r="AU105" s="465"/>
      <c r="AV105" s="465"/>
      <c r="AW105" s="465"/>
      <c r="AX105" s="465"/>
      <c r="AY105" s="465"/>
      <c r="AZ105" s="465"/>
      <c r="BA105" s="465"/>
      <c r="BB105" s="465"/>
      <c r="BC105" s="590"/>
      <c r="BD105" s="465"/>
      <c r="BE105" s="465"/>
      <c r="BF105" s="465"/>
      <c r="BG105" s="465"/>
      <c r="BH105" s="465"/>
      <c r="BI105" s="465"/>
      <c r="BJ105" s="465"/>
      <c r="BK105" s="465"/>
      <c r="BL105" s="456"/>
      <c r="BM105" s="456"/>
      <c r="BN105" s="456"/>
      <c r="BO105" s="456"/>
      <c r="BP105" s="456"/>
      <c r="BQ105" s="456"/>
      <c r="BR105" s="465"/>
      <c r="BS105" s="610"/>
      <c r="BT105" s="465"/>
      <c r="BU105" s="465"/>
      <c r="BV105" s="465"/>
      <c r="BW105" s="465"/>
      <c r="BX105" s="465"/>
      <c r="BY105" s="465"/>
      <c r="BZ105" s="465"/>
      <c r="CA105" s="465"/>
      <c r="CB105" s="465"/>
      <c r="CC105" s="590"/>
      <c r="CD105" s="465"/>
      <c r="CE105" s="465"/>
      <c r="CF105" s="465"/>
      <c r="CG105" s="459"/>
      <c r="CH105" s="456"/>
      <c r="CI105" s="456"/>
      <c r="CJ105" s="456"/>
      <c r="CK105" s="505" t="s">
        <v>324</v>
      </c>
      <c r="CL105" s="505"/>
      <c r="CM105" s="457"/>
      <c r="CN105" s="457"/>
      <c r="CO105" s="505"/>
      <c r="CP105" s="505"/>
      <c r="CQ105" s="603"/>
      <c r="CR105" s="603"/>
      <c r="CS105" s="603"/>
      <c r="CT105" s="601" t="s">
        <v>272</v>
      </c>
      <c r="CU105" s="601"/>
      <c r="CV105" s="601"/>
      <c r="CW105" s="601"/>
      <c r="CX105" s="457"/>
      <c r="CY105" s="601"/>
      <c r="CZ105" s="602" t="s">
        <v>282</v>
      </c>
      <c r="DA105" s="598" t="s">
        <v>265</v>
      </c>
      <c r="DB105" s="598"/>
      <c r="DC105" s="598"/>
      <c r="DD105" s="598"/>
      <c r="DE105" s="598"/>
      <c r="DF105" s="598"/>
      <c r="DG105" s="596" t="s">
        <v>261</v>
      </c>
      <c r="DH105" s="596"/>
      <c r="DI105" s="596"/>
      <c r="DJ105" s="596"/>
      <c r="DK105" s="596"/>
      <c r="DL105" s="596"/>
      <c r="DM105" s="471" t="s">
        <v>77</v>
      </c>
      <c r="DN105" s="471"/>
      <c r="DO105" s="471"/>
      <c r="DP105" s="471"/>
      <c r="DQ105" s="471"/>
      <c r="DR105" s="471"/>
      <c r="DS105" s="473" t="s">
        <v>66</v>
      </c>
      <c r="DT105" s="473"/>
      <c r="DU105" s="473"/>
      <c r="DV105" s="473"/>
      <c r="DW105" s="473"/>
      <c r="DX105" s="473"/>
      <c r="DY105" s="592" t="s">
        <v>247</v>
      </c>
      <c r="DZ105" s="592"/>
      <c r="EA105" s="592"/>
      <c r="EB105" s="592"/>
      <c r="EC105" s="592"/>
      <c r="ED105" s="592"/>
      <c r="EE105" s="591" t="s">
        <v>242</v>
      </c>
      <c r="EF105" s="591"/>
      <c r="EG105" s="591"/>
      <c r="EH105" s="591"/>
      <c r="EI105" s="591"/>
      <c r="EJ105" s="591"/>
      <c r="EK105" s="3" t="s">
        <v>238</v>
      </c>
      <c r="EL105" s="457"/>
      <c r="EM105" s="457"/>
      <c r="EN105" s="3" t="s">
        <v>243</v>
      </c>
      <c r="EO105" s="465"/>
      <c r="EP105" s="456"/>
      <c r="EQ105" s="456"/>
      <c r="ER105" s="456"/>
      <c r="ES105" s="456"/>
      <c r="ET105" s="465"/>
      <c r="EU105" s="465"/>
      <c r="EV105" s="465"/>
      <c r="EW105" s="465"/>
      <c r="EX105" s="465"/>
      <c r="EY105" s="465"/>
      <c r="EZ105" s="465"/>
      <c r="FA105" s="465"/>
      <c r="FB105" s="465"/>
      <c r="FC105" s="465"/>
      <c r="FE105" s="465"/>
      <c r="FF105" s="465"/>
      <c r="FG105" s="456"/>
      <c r="FH105" s="456"/>
      <c r="FI105" s="456"/>
      <c r="FJ105" s="456"/>
      <c r="FK105" s="456"/>
      <c r="FL105" s="456"/>
      <c r="FM105" s="456"/>
      <c r="FN105" s="456"/>
      <c r="FO105" s="456"/>
      <c r="FP105" s="456"/>
      <c r="FQ105" s="456"/>
      <c r="FR105" s="456"/>
      <c r="FS105" s="456"/>
      <c r="FT105" s="456"/>
      <c r="FU105" s="456"/>
      <c r="FV105" s="456"/>
      <c r="FW105" s="456"/>
      <c r="FX105" s="456"/>
      <c r="FY105" s="456"/>
      <c r="FZ105" s="456"/>
      <c r="GA105" s="456"/>
      <c r="GB105" s="456"/>
      <c r="GC105" s="456"/>
      <c r="GD105" s="456"/>
      <c r="GE105" s="456"/>
      <c r="GF105" s="456"/>
      <c r="GG105" s="456"/>
      <c r="GH105" s="456"/>
      <c r="GI105" s="456"/>
      <c r="GJ105" s="457"/>
      <c r="GK105" s="457"/>
      <c r="GL105" s="456"/>
      <c r="GM105" s="456"/>
      <c r="GN105" s="456"/>
      <c r="GO105" s="456"/>
      <c r="GP105" s="456"/>
      <c r="GQ105" s="456"/>
      <c r="GR105" s="456"/>
      <c r="GS105" s="456"/>
      <c r="GT105" s="456"/>
      <c r="GU105" s="456"/>
      <c r="GV105" s="456"/>
      <c r="GW105" s="456"/>
      <c r="GX105" s="456"/>
      <c r="GY105" s="456"/>
      <c r="GZ105" s="456"/>
      <c r="HA105" s="456"/>
      <c r="HB105" s="456"/>
      <c r="HC105" s="456"/>
      <c r="HD105" s="456"/>
      <c r="HE105" s="456"/>
      <c r="HF105" s="456"/>
      <c r="HG105" s="456"/>
      <c r="HH105" s="456"/>
      <c r="HI105" s="456"/>
      <c r="HJ105" s="456"/>
      <c r="HK105" s="456"/>
      <c r="HL105" s="456"/>
      <c r="HM105" s="456"/>
      <c r="HN105" s="456"/>
      <c r="HO105" s="456"/>
      <c r="HP105" s="465"/>
      <c r="HQ105" s="456"/>
      <c r="HR105" s="456"/>
      <c r="HS105" s="456"/>
      <c r="HT105" s="456"/>
      <c r="HU105" s="456"/>
      <c r="HV105" s="456"/>
      <c r="HW105" s="456"/>
      <c r="HX105" s="456"/>
      <c r="HY105" s="456"/>
      <c r="HZ105" s="456"/>
      <c r="IA105" s="456"/>
      <c r="IB105" s="456"/>
      <c r="IC105" s="456"/>
      <c r="ID105" s="456"/>
      <c r="IE105" s="456"/>
      <c r="IF105" s="456"/>
      <c r="IG105" s="456"/>
      <c r="IH105" s="456"/>
      <c r="II105" s="456"/>
      <c r="IJ105" s="456"/>
      <c r="IK105" s="456"/>
      <c r="IL105" s="456"/>
      <c r="IM105" s="456"/>
      <c r="IN105" s="457"/>
      <c r="IO105" s="457"/>
      <c r="IP105" s="456"/>
      <c r="IQ105" s="456"/>
      <c r="IR105" s="456"/>
      <c r="IS105" s="456"/>
      <c r="IT105" s="456"/>
      <c r="IU105" s="456"/>
      <c r="IV105" s="456"/>
      <c r="IW105" s="456"/>
      <c r="IX105" s="456"/>
      <c r="IY105" s="456"/>
      <c r="IZ105" s="456"/>
      <c r="JA105" s="456"/>
      <c r="JB105" s="456"/>
      <c r="JC105" s="456"/>
      <c r="JD105" s="456"/>
      <c r="JE105" s="456"/>
      <c r="JF105" s="456"/>
      <c r="JG105" s="456"/>
      <c r="JH105" s="456"/>
      <c r="JI105" s="456"/>
      <c r="JJ105" s="456"/>
      <c r="JK105" s="456"/>
      <c r="JL105" s="456"/>
      <c r="JM105" s="456"/>
      <c r="JN105" s="456"/>
      <c r="JO105" s="456"/>
      <c r="JP105" s="456"/>
      <c r="JQ105" s="456"/>
      <c r="JR105" s="456"/>
      <c r="JS105" s="456"/>
      <c r="JT105" s="456"/>
      <c r="JU105" s="456"/>
      <c r="JV105" s="456"/>
      <c r="JW105" s="456"/>
      <c r="JX105" s="456"/>
      <c r="JY105" s="456"/>
      <c r="JZ105" s="456"/>
      <c r="KA105" s="456"/>
      <c r="KB105" s="456"/>
      <c r="KC105" s="456"/>
      <c r="KD105" s="456"/>
      <c r="KE105" s="456"/>
      <c r="KF105" s="456"/>
    </row>
    <row r="106" spans="1:292" ht="70" customHeight="1">
      <c r="A106" s="172" t="s">
        <v>371</v>
      </c>
      <c r="B106" s="334">
        <v>48</v>
      </c>
      <c r="C106" s="334" t="s">
        <v>107</v>
      </c>
      <c r="D106" s="334"/>
      <c r="E106" s="334"/>
      <c r="F106" s="335">
        <v>46148</v>
      </c>
      <c r="G106" s="78" t="s">
        <v>372</v>
      </c>
      <c r="H106" s="78"/>
      <c r="I106" s="41" t="s">
        <v>680</v>
      </c>
      <c r="J106" s="155" t="s">
        <v>741</v>
      </c>
      <c r="K106" s="245" t="s">
        <v>270</v>
      </c>
      <c r="L106" s="77" t="s">
        <v>34</v>
      </c>
      <c r="M106" s="33">
        <v>46112</v>
      </c>
      <c r="N106" s="42">
        <v>46263</v>
      </c>
      <c r="O106" s="33">
        <v>46338</v>
      </c>
      <c r="P106" s="628">
        <v>46088</v>
      </c>
      <c r="Q106" s="628">
        <f>Q105+28</f>
        <v>46116</v>
      </c>
      <c r="R106" s="628">
        <f t="shared" si="32"/>
        <v>46326</v>
      </c>
      <c r="S106" s="87"/>
      <c r="T106" s="585">
        <v>46480</v>
      </c>
      <c r="U106" s="364">
        <f t="shared" si="29"/>
        <v>142</v>
      </c>
      <c r="V106" s="271" t="s">
        <v>506</v>
      </c>
      <c r="W106" s="452" t="s">
        <v>737</v>
      </c>
      <c r="X106" s="456"/>
      <c r="Y106" s="456"/>
      <c r="Z106" s="456"/>
      <c r="AA106" s="456"/>
      <c r="AB106" s="456"/>
      <c r="AC106" s="456"/>
      <c r="AD106" s="456"/>
      <c r="AE106" s="465"/>
      <c r="AF106" s="465"/>
      <c r="AG106" s="340"/>
      <c r="AH106" s="465"/>
      <c r="AI106" s="465"/>
      <c r="AJ106" s="457"/>
      <c r="AK106" s="457"/>
      <c r="AL106" s="465"/>
      <c r="AM106" s="465"/>
      <c r="AN106" s="465"/>
      <c r="AO106" s="465"/>
      <c r="AP106" s="465"/>
      <c r="AQ106" s="465"/>
      <c r="AR106" s="465"/>
      <c r="AS106" s="7"/>
      <c r="AT106" s="7"/>
      <c r="AU106" s="456"/>
      <c r="AV106" s="340"/>
      <c r="AW106" s="465"/>
      <c r="AX106" s="456"/>
      <c r="AY106" s="465"/>
      <c r="AZ106" s="465"/>
      <c r="BA106" s="465"/>
      <c r="BB106" s="465"/>
      <c r="BC106" s="465"/>
      <c r="BD106" s="465"/>
      <c r="BE106" s="465"/>
      <c r="BF106" s="465"/>
      <c r="BG106" s="465"/>
      <c r="BH106" s="465"/>
      <c r="BI106" s="465"/>
      <c r="BJ106" s="465"/>
      <c r="BK106" s="465"/>
      <c r="BL106" s="456"/>
      <c r="BM106" s="456"/>
      <c r="BN106" s="456"/>
      <c r="BO106" s="456"/>
      <c r="BP106" s="456"/>
      <c r="BQ106" s="456"/>
      <c r="BR106" s="465"/>
      <c r="BS106" s="610"/>
      <c r="BT106" s="465"/>
      <c r="BU106" s="465"/>
      <c r="BV106" s="465"/>
      <c r="BW106" s="465"/>
      <c r="BX106" s="456"/>
      <c r="BY106" s="456"/>
      <c r="BZ106" s="456"/>
      <c r="CA106" s="456"/>
      <c r="CB106" s="456"/>
      <c r="CC106" s="456"/>
      <c r="CD106" s="456"/>
      <c r="CE106" s="456"/>
      <c r="CF106" s="456"/>
      <c r="CG106" s="459"/>
      <c r="CH106" s="7"/>
      <c r="CI106" s="465"/>
      <c r="CJ106" s="465"/>
      <c r="CK106" s="456"/>
      <c r="CL106" s="456"/>
      <c r="CM106" s="457"/>
      <c r="CN106" s="457"/>
      <c r="CO106" s="456"/>
      <c r="CP106" s="456"/>
      <c r="CQ106" s="505" t="s">
        <v>324</v>
      </c>
      <c r="CR106" s="505"/>
      <c r="CS106" s="505"/>
      <c r="CT106" s="603" t="s">
        <v>325</v>
      </c>
      <c r="CU106" s="603"/>
      <c r="CV106" s="603"/>
      <c r="CW106" s="603"/>
      <c r="CX106" s="457"/>
      <c r="CY106" s="603"/>
      <c r="CZ106" s="603"/>
      <c r="DA106" s="601" t="s">
        <v>272</v>
      </c>
      <c r="DB106" s="601"/>
      <c r="DC106" s="601"/>
      <c r="DD106" s="601"/>
      <c r="DE106" s="601"/>
      <c r="DF106" s="602" t="s">
        <v>282</v>
      </c>
      <c r="DG106" s="598" t="s">
        <v>265</v>
      </c>
      <c r="DH106" s="598"/>
      <c r="DI106" s="598"/>
      <c r="DJ106" s="598"/>
      <c r="DK106" s="598"/>
      <c r="DL106" s="598"/>
      <c r="DM106" s="596" t="s">
        <v>261</v>
      </c>
      <c r="DN106" s="596"/>
      <c r="DO106" s="596"/>
      <c r="DP106" s="596"/>
      <c r="DQ106" s="596"/>
      <c r="DR106" s="596"/>
      <c r="DS106" s="471" t="s">
        <v>77</v>
      </c>
      <c r="DT106" s="471"/>
      <c r="DU106" s="471"/>
      <c r="DV106" s="471"/>
      <c r="DW106" s="471"/>
      <c r="DX106" s="471"/>
      <c r="DY106" s="473" t="s">
        <v>66</v>
      </c>
      <c r="DZ106" s="473"/>
      <c r="EA106" s="473"/>
      <c r="EB106" s="473"/>
      <c r="EC106" s="473"/>
      <c r="ED106" s="473"/>
      <c r="EE106" s="592" t="s">
        <v>247</v>
      </c>
      <c r="EF106" s="592"/>
      <c r="EG106" s="592"/>
      <c r="EH106" s="592"/>
      <c r="EI106" s="592"/>
      <c r="EJ106" s="592"/>
      <c r="EK106" s="591" t="s">
        <v>242</v>
      </c>
      <c r="EL106" s="457"/>
      <c r="EM106" s="457"/>
      <c r="EN106" s="591"/>
      <c r="EO106" s="591"/>
      <c r="EP106" s="591"/>
      <c r="EQ106" s="591"/>
      <c r="ER106" s="591"/>
      <c r="ES106" s="3" t="s">
        <v>238</v>
      </c>
      <c r="ET106" s="3" t="s">
        <v>243</v>
      </c>
      <c r="EU106" s="516" t="s">
        <v>130</v>
      </c>
      <c r="EV106" s="456"/>
      <c r="EW106" s="456"/>
      <c r="EX106" s="456"/>
      <c r="EY106" s="456"/>
      <c r="EZ106" s="456"/>
      <c r="FA106" s="456"/>
      <c r="FB106" s="456"/>
      <c r="FC106" s="456"/>
      <c r="FE106" s="456"/>
      <c r="FF106" s="456"/>
      <c r="FG106" s="456"/>
      <c r="FH106" s="456"/>
      <c r="FI106" s="456"/>
      <c r="FJ106" s="456"/>
      <c r="FK106" s="456"/>
      <c r="FL106" s="456"/>
      <c r="FM106" s="456"/>
      <c r="FN106" s="456"/>
      <c r="FO106" s="456"/>
      <c r="FP106" s="456"/>
      <c r="FQ106" s="456"/>
      <c r="FR106" s="456"/>
      <c r="FS106" s="456"/>
      <c r="FT106" s="456"/>
      <c r="FU106" s="456"/>
      <c r="FV106" s="456"/>
      <c r="FW106" s="456"/>
      <c r="FX106" s="456"/>
      <c r="FY106" s="456"/>
      <c r="FZ106" s="456"/>
      <c r="GA106" s="456"/>
      <c r="GB106" s="456"/>
      <c r="GC106" s="456"/>
      <c r="GD106" s="456"/>
      <c r="GE106" s="456"/>
      <c r="GF106" s="456"/>
      <c r="GG106" s="456"/>
      <c r="GH106" s="456"/>
      <c r="GI106" s="456"/>
      <c r="GJ106" s="457"/>
      <c r="GK106" s="457"/>
      <c r="GL106" s="456"/>
      <c r="GM106" s="456"/>
      <c r="GN106" s="456"/>
      <c r="GO106" s="456"/>
      <c r="GP106" s="456"/>
      <c r="GQ106" s="456"/>
      <c r="GR106" s="456"/>
      <c r="GS106" s="456"/>
      <c r="GT106" s="456"/>
      <c r="GU106" s="456"/>
      <c r="GV106" s="456"/>
      <c r="GW106" s="456"/>
      <c r="GX106" s="456"/>
      <c r="GY106" s="456"/>
      <c r="GZ106" s="456"/>
      <c r="HA106" s="456"/>
      <c r="HB106" s="456"/>
      <c r="HC106" s="456"/>
      <c r="HD106" s="456"/>
      <c r="HE106" s="456"/>
      <c r="HF106" s="456"/>
      <c r="HG106" s="456"/>
      <c r="HH106" s="456"/>
      <c r="HI106" s="456"/>
      <c r="HJ106" s="456"/>
      <c r="HK106" s="456"/>
      <c r="HL106" s="456"/>
      <c r="HM106" s="456"/>
      <c r="HN106" s="456"/>
      <c r="HO106" s="456"/>
      <c r="HP106" s="465"/>
      <c r="HQ106" s="456"/>
      <c r="HR106" s="456"/>
      <c r="HS106" s="456"/>
      <c r="HT106" s="456"/>
      <c r="HU106" s="456"/>
      <c r="HV106" s="456"/>
      <c r="HW106" s="456"/>
      <c r="HX106" s="456"/>
      <c r="HY106" s="456"/>
      <c r="HZ106" s="456"/>
      <c r="IA106" s="456"/>
      <c r="IB106" s="456"/>
      <c r="IC106" s="456"/>
      <c r="ID106" s="456"/>
      <c r="IE106" s="456"/>
      <c r="IF106" s="456"/>
      <c r="IG106" s="456"/>
      <c r="IH106" s="456"/>
      <c r="II106" s="456"/>
      <c r="IJ106" s="456"/>
      <c r="IK106" s="456"/>
      <c r="IL106" s="456"/>
      <c r="IM106" s="456"/>
      <c r="IN106" s="457"/>
      <c r="IO106" s="457"/>
      <c r="IP106" s="456"/>
      <c r="IQ106" s="456"/>
      <c r="IR106" s="456"/>
      <c r="IS106" s="456"/>
      <c r="IT106" s="456"/>
      <c r="IU106" s="456"/>
      <c r="IV106" s="456"/>
      <c r="IW106" s="456"/>
      <c r="IX106" s="456"/>
      <c r="IY106" s="456"/>
      <c r="IZ106" s="456"/>
      <c r="JA106" s="456"/>
      <c r="JB106" s="456"/>
      <c r="JC106" s="456"/>
      <c r="JD106" s="456"/>
      <c r="JE106" s="456"/>
      <c r="JF106" s="456"/>
      <c r="JG106" s="456"/>
      <c r="JH106" s="456"/>
      <c r="JI106" s="456"/>
      <c r="JJ106" s="456"/>
      <c r="JK106" s="456"/>
      <c r="JL106" s="456"/>
      <c r="JM106" s="456"/>
      <c r="JN106" s="456"/>
      <c r="JO106" s="456"/>
      <c r="JP106" s="456"/>
      <c r="JQ106" s="456"/>
      <c r="JR106" s="456"/>
      <c r="JS106" s="456"/>
      <c r="JT106" s="456"/>
      <c r="JU106" s="456"/>
      <c r="JV106" s="456"/>
      <c r="JW106" s="456"/>
      <c r="JX106" s="456"/>
      <c r="JY106" s="456"/>
      <c r="JZ106" s="456"/>
      <c r="KA106" s="456"/>
      <c r="KB106" s="456"/>
      <c r="KC106" s="456"/>
      <c r="KD106" s="456"/>
      <c r="KE106" s="456"/>
      <c r="KF106" s="456"/>
    </row>
    <row r="107" spans="1:292" ht="70" customHeight="1">
      <c r="A107" s="170" t="s">
        <v>373</v>
      </c>
      <c r="B107" s="334">
        <v>49</v>
      </c>
      <c r="C107" s="334" t="s">
        <v>107</v>
      </c>
      <c r="D107" s="334"/>
      <c r="E107" s="334"/>
      <c r="F107" s="335" t="s">
        <v>704</v>
      </c>
      <c r="G107" s="78" t="s">
        <v>374</v>
      </c>
      <c r="H107" s="78"/>
      <c r="I107" s="69" t="s">
        <v>726</v>
      </c>
      <c r="J107" s="154" t="s">
        <v>742</v>
      </c>
      <c r="K107" s="244" t="s">
        <v>270</v>
      </c>
      <c r="L107" s="78" t="s">
        <v>34</v>
      </c>
      <c r="M107" s="33">
        <v>46107</v>
      </c>
      <c r="N107" s="42">
        <v>46392</v>
      </c>
      <c r="O107" s="33">
        <v>46331</v>
      </c>
      <c r="P107" s="628">
        <v>46116</v>
      </c>
      <c r="Q107" s="628">
        <v>46165</v>
      </c>
      <c r="R107" s="628">
        <f t="shared" si="32"/>
        <v>46368</v>
      </c>
      <c r="S107" s="87"/>
      <c r="T107" s="585">
        <f>T106+42</f>
        <v>46522</v>
      </c>
      <c r="U107" s="364">
        <f t="shared" si="29"/>
        <v>191</v>
      </c>
      <c r="V107" s="271" t="s">
        <v>687</v>
      </c>
      <c r="W107" s="452" t="s">
        <v>738</v>
      </c>
      <c r="X107" s="465"/>
      <c r="Y107" s="465"/>
      <c r="Z107" s="465"/>
      <c r="AA107" s="465"/>
      <c r="AB107" s="465"/>
      <c r="AC107" s="465"/>
      <c r="AD107" s="465"/>
      <c r="AE107" s="465"/>
      <c r="AF107" s="465"/>
      <c r="AG107" s="340"/>
      <c r="AH107" s="465"/>
      <c r="AI107" s="465"/>
      <c r="AJ107" s="457"/>
      <c r="AK107" s="457"/>
      <c r="AL107" s="465"/>
      <c r="AM107" s="465"/>
      <c r="AN107" s="465"/>
      <c r="AO107" s="465"/>
      <c r="AP107" s="465"/>
      <c r="AQ107" s="465"/>
      <c r="AR107" s="465"/>
      <c r="AS107" s="7"/>
      <c r="AT107" s="7"/>
      <c r="AU107" s="456"/>
      <c r="AV107" s="340"/>
      <c r="AW107" s="465"/>
      <c r="AX107" s="456"/>
      <c r="AY107" s="465"/>
      <c r="AZ107" s="465"/>
      <c r="BA107" s="465"/>
      <c r="BB107" s="465"/>
      <c r="BC107" s="465"/>
      <c r="BD107" s="465"/>
      <c r="BE107" s="465"/>
      <c r="BF107" s="465"/>
      <c r="BG107" s="465"/>
      <c r="BH107" s="465"/>
      <c r="BI107" s="465"/>
      <c r="BJ107" s="465"/>
      <c r="BK107" s="465"/>
      <c r="BL107" s="456"/>
      <c r="BM107" s="456"/>
      <c r="BN107" s="456"/>
      <c r="BO107" s="456"/>
      <c r="BP107" s="456"/>
      <c r="BQ107" s="456"/>
      <c r="BR107" s="465"/>
      <c r="BS107" s="610"/>
      <c r="BT107" s="465"/>
      <c r="BU107" s="465"/>
      <c r="BV107" s="465"/>
      <c r="BW107" s="465"/>
      <c r="BX107" s="465"/>
      <c r="BY107" s="465"/>
      <c r="BZ107" s="465"/>
      <c r="CA107" s="465"/>
      <c r="CB107" s="456"/>
      <c r="CC107" s="590"/>
      <c r="CD107" s="465"/>
      <c r="CE107" s="465"/>
      <c r="CF107" s="465"/>
      <c r="CG107" s="465"/>
      <c r="CH107" s="465"/>
      <c r="CI107" s="465"/>
      <c r="CJ107" s="465"/>
      <c r="CK107" s="465"/>
      <c r="CL107" s="465"/>
      <c r="CM107" s="457"/>
      <c r="CN107" s="457"/>
      <c r="CO107" s="456"/>
      <c r="CP107" s="456"/>
      <c r="CQ107" s="456"/>
      <c r="CR107" s="456"/>
      <c r="CS107" s="456"/>
      <c r="CT107" s="505" t="s">
        <v>324</v>
      </c>
      <c r="CU107" s="505"/>
      <c r="CV107" s="505"/>
      <c r="CW107" s="505"/>
      <c r="CX107" s="457"/>
      <c r="CY107" s="505"/>
      <c r="CZ107" s="505"/>
      <c r="DA107" s="603" t="s">
        <v>325</v>
      </c>
      <c r="DB107" s="603"/>
      <c r="DC107" s="603"/>
      <c r="DD107" s="603"/>
      <c r="DE107" s="603"/>
      <c r="DF107" s="603"/>
      <c r="DG107" s="601" t="s">
        <v>272</v>
      </c>
      <c r="DH107" s="601"/>
      <c r="DI107" s="601"/>
      <c r="DJ107" s="601"/>
      <c r="DK107" s="601"/>
      <c r="DL107" s="602" t="s">
        <v>282</v>
      </c>
      <c r="DM107" s="598" t="s">
        <v>265</v>
      </c>
      <c r="DN107" s="598"/>
      <c r="DO107" s="598"/>
      <c r="DP107" s="598"/>
      <c r="DQ107" s="598"/>
      <c r="DR107" s="598"/>
      <c r="DS107" s="596" t="s">
        <v>261</v>
      </c>
      <c r="DT107" s="596"/>
      <c r="DU107" s="596"/>
      <c r="DV107" s="596"/>
      <c r="DW107" s="596"/>
      <c r="DX107" s="596"/>
      <c r="DY107" s="471" t="s">
        <v>77</v>
      </c>
      <c r="DZ107" s="471"/>
      <c r="EA107" s="471"/>
      <c r="EB107" s="471"/>
      <c r="EC107" s="471"/>
      <c r="ED107" s="471"/>
      <c r="EE107" s="473" t="s">
        <v>66</v>
      </c>
      <c r="EF107" s="473"/>
      <c r="EG107" s="473"/>
      <c r="EH107" s="473"/>
      <c r="EI107" s="473"/>
      <c r="EJ107" s="473"/>
      <c r="EK107" s="592" t="s">
        <v>247</v>
      </c>
      <c r="EL107" s="457"/>
      <c r="EM107" s="457"/>
      <c r="EN107" s="592"/>
      <c r="EO107" s="592"/>
      <c r="EP107" s="592"/>
      <c r="EQ107" s="592"/>
      <c r="ER107" s="592"/>
      <c r="ES107" s="591" t="s">
        <v>242</v>
      </c>
      <c r="ET107" s="591"/>
      <c r="EU107" s="591"/>
      <c r="EV107" s="591"/>
      <c r="EW107" s="591"/>
      <c r="EX107" s="591"/>
      <c r="EY107" s="3" t="s">
        <v>238</v>
      </c>
      <c r="EZ107" s="3" t="s">
        <v>243</v>
      </c>
      <c r="FA107" s="456"/>
      <c r="FB107" s="456"/>
      <c r="FC107" s="456"/>
      <c r="FD107" s="456"/>
      <c r="FE107" s="456"/>
      <c r="FF107" s="456"/>
      <c r="FG107" s="456"/>
      <c r="FH107" s="456"/>
      <c r="FI107" s="456"/>
      <c r="FJ107" s="456"/>
      <c r="FK107" s="456"/>
      <c r="FL107" s="456"/>
      <c r="FM107" s="456"/>
      <c r="FN107" s="456"/>
      <c r="FO107" s="456"/>
      <c r="FP107" s="456"/>
      <c r="FQ107" s="456"/>
      <c r="FR107" s="456"/>
      <c r="FS107" s="456"/>
      <c r="FT107" s="456"/>
      <c r="FU107" s="456"/>
      <c r="FV107" s="456"/>
      <c r="FW107" s="456"/>
      <c r="FX107" s="456"/>
      <c r="FY107" s="456"/>
      <c r="FZ107" s="456"/>
      <c r="GA107" s="456"/>
      <c r="GB107" s="456"/>
      <c r="GC107" s="456"/>
      <c r="GD107" s="456"/>
      <c r="GE107" s="456"/>
      <c r="GF107" s="456"/>
      <c r="GG107" s="456"/>
      <c r="GH107" s="456"/>
      <c r="GI107" s="456"/>
      <c r="GJ107" s="457"/>
      <c r="GK107" s="457"/>
      <c r="GL107" s="456"/>
      <c r="GM107" s="456"/>
      <c r="GN107" s="456"/>
      <c r="GO107" s="456"/>
      <c r="GP107" s="456"/>
      <c r="GQ107" s="456"/>
      <c r="GR107" s="456"/>
      <c r="GS107" s="456"/>
      <c r="GT107" s="456"/>
      <c r="GU107" s="456"/>
      <c r="GV107" s="456"/>
      <c r="GW107" s="456"/>
      <c r="GX107" s="456"/>
      <c r="GY107" s="456"/>
      <c r="GZ107" s="456"/>
      <c r="HA107" s="456"/>
      <c r="HB107" s="456"/>
      <c r="HC107" s="456"/>
      <c r="HD107" s="456"/>
      <c r="HE107" s="456"/>
      <c r="HF107" s="456"/>
      <c r="HG107" s="456"/>
      <c r="HH107" s="456"/>
      <c r="HI107" s="456"/>
      <c r="HJ107" s="456"/>
      <c r="HK107" s="456"/>
      <c r="HL107" s="456"/>
      <c r="HM107" s="456"/>
      <c r="HN107" s="456"/>
      <c r="HO107" s="456"/>
      <c r="HP107" s="465"/>
      <c r="HQ107" s="456"/>
      <c r="HR107" s="456"/>
      <c r="HS107" s="456"/>
      <c r="HT107" s="456"/>
      <c r="HU107" s="456"/>
      <c r="HV107" s="456"/>
      <c r="HW107" s="456"/>
      <c r="HX107" s="456"/>
      <c r="HY107" s="456"/>
      <c r="HZ107" s="456"/>
      <c r="IA107" s="456"/>
      <c r="IB107" s="456"/>
      <c r="IC107" s="456"/>
      <c r="ID107" s="456"/>
      <c r="IE107" s="456"/>
      <c r="IF107" s="456"/>
      <c r="IG107" s="456"/>
      <c r="IH107" s="456"/>
      <c r="II107" s="456"/>
      <c r="IJ107" s="456"/>
      <c r="IK107" s="456"/>
      <c r="IL107" s="456"/>
      <c r="IM107" s="456"/>
      <c r="IN107" s="457"/>
      <c r="IO107" s="457"/>
      <c r="IP107" s="456"/>
      <c r="IQ107" s="456"/>
      <c r="IR107" s="456"/>
      <c r="IS107" s="456"/>
      <c r="IT107" s="456"/>
      <c r="IU107" s="456"/>
      <c r="IV107" s="456"/>
      <c r="IW107" s="456"/>
      <c r="IX107" s="456"/>
      <c r="IY107" s="456"/>
      <c r="IZ107" s="456"/>
      <c r="JA107" s="456"/>
      <c r="JB107" s="456"/>
      <c r="JC107" s="456"/>
      <c r="JD107" s="456"/>
      <c r="JE107" s="456"/>
      <c r="JF107" s="456"/>
      <c r="JG107" s="456"/>
      <c r="JH107" s="456"/>
      <c r="JI107" s="456"/>
      <c r="JJ107" s="456"/>
      <c r="JK107" s="456"/>
      <c r="JL107" s="456"/>
      <c r="JM107" s="456"/>
      <c r="JN107" s="456"/>
      <c r="JO107" s="456"/>
      <c r="JP107" s="456"/>
      <c r="JQ107" s="456"/>
      <c r="JR107" s="456"/>
      <c r="JS107" s="456"/>
      <c r="JT107" s="456"/>
      <c r="JU107" s="456"/>
      <c r="JV107" s="456"/>
      <c r="JW107" s="456"/>
      <c r="JX107" s="456"/>
      <c r="JY107" s="456"/>
      <c r="JZ107" s="456"/>
      <c r="KA107" s="456"/>
      <c r="KB107" s="456"/>
      <c r="KC107" s="456"/>
      <c r="KD107" s="456"/>
      <c r="KE107" s="456"/>
      <c r="KF107" s="456"/>
    </row>
    <row r="108" spans="1:292" ht="70" customHeight="1">
      <c r="A108" s="170" t="s">
        <v>376</v>
      </c>
      <c r="B108" s="334">
        <v>50</v>
      </c>
      <c r="C108" s="334"/>
      <c r="D108" s="334"/>
      <c r="E108" s="334"/>
      <c r="F108" s="335" t="s">
        <v>704</v>
      </c>
      <c r="G108" s="78" t="s">
        <v>377</v>
      </c>
      <c r="H108" s="78"/>
      <c r="I108" s="104" t="s">
        <v>54</v>
      </c>
      <c r="J108" s="156" t="s">
        <v>115</v>
      </c>
      <c r="K108" s="244"/>
      <c r="L108" s="41" t="s">
        <v>55</v>
      </c>
      <c r="M108" s="33"/>
      <c r="N108" s="42"/>
      <c r="O108" s="33"/>
      <c r="P108" s="628">
        <v>46165</v>
      </c>
      <c r="Q108" s="628">
        <f t="shared" ref="Q108:R117" si="33">Q107+42</f>
        <v>46207</v>
      </c>
      <c r="R108" s="628">
        <f t="shared" si="32"/>
        <v>46410</v>
      </c>
      <c r="S108" s="87"/>
      <c r="T108" s="585">
        <f t="shared" ref="T108:T113" si="34">T107+42</f>
        <v>46564</v>
      </c>
      <c r="U108" s="364"/>
      <c r="V108" s="172" t="s">
        <v>493</v>
      </c>
      <c r="W108" s="452" t="s">
        <v>738</v>
      </c>
      <c r="X108" s="465"/>
      <c r="Y108" s="465"/>
      <c r="Z108" s="465"/>
      <c r="AA108" s="465"/>
      <c r="AB108" s="465"/>
      <c r="AC108" s="465"/>
      <c r="AD108" s="465"/>
      <c r="AE108" s="465"/>
      <c r="AF108" s="465"/>
      <c r="AG108" s="340"/>
      <c r="AH108" s="465"/>
      <c r="AI108" s="465"/>
      <c r="AJ108" s="457"/>
      <c r="AK108" s="457"/>
      <c r="AL108" s="465"/>
      <c r="AM108" s="465"/>
      <c r="AN108" s="465"/>
      <c r="AO108" s="465"/>
      <c r="AP108" s="465"/>
      <c r="AQ108" s="465"/>
      <c r="AR108" s="465"/>
      <c r="AS108" s="7"/>
      <c r="AT108" s="7"/>
      <c r="AU108" s="456"/>
      <c r="AV108" s="340"/>
      <c r="AW108" s="465"/>
      <c r="AX108" s="456"/>
      <c r="AY108" s="465"/>
      <c r="AZ108" s="465"/>
      <c r="BA108" s="465"/>
      <c r="BB108" s="465"/>
      <c r="BC108" s="465"/>
      <c r="BD108" s="465"/>
      <c r="BE108" s="465"/>
      <c r="BF108" s="590"/>
      <c r="BG108" s="465"/>
      <c r="BH108" s="465"/>
      <c r="BI108" s="465"/>
      <c r="BJ108" s="465"/>
      <c r="BK108" s="465"/>
      <c r="BL108" s="465"/>
      <c r="BM108" s="465"/>
      <c r="BN108" s="465"/>
      <c r="BO108" s="465"/>
      <c r="BP108" s="465"/>
      <c r="BQ108" s="465"/>
      <c r="BR108" s="465"/>
      <c r="BS108" s="465"/>
      <c r="BT108" s="465"/>
      <c r="BU108" s="465"/>
      <c r="BV108" s="7"/>
      <c r="BW108" s="7"/>
      <c r="BX108" s="456"/>
      <c r="BY108" s="456"/>
      <c r="BZ108" s="456"/>
      <c r="CA108" s="7"/>
      <c r="CB108" s="456"/>
      <c r="CC108" s="465"/>
      <c r="CD108" s="465"/>
      <c r="CE108" s="465"/>
      <c r="CF108" s="7"/>
      <c r="CG108" s="7"/>
      <c r="CH108" s="465"/>
      <c r="CI108" s="7"/>
      <c r="CJ108" s="7"/>
      <c r="CK108" s="465"/>
      <c r="CL108" s="465"/>
      <c r="CM108" s="457"/>
      <c r="CN108" s="457"/>
      <c r="CO108" s="456"/>
      <c r="CP108" s="465"/>
      <c r="CQ108" s="465"/>
      <c r="CR108" s="456"/>
      <c r="CS108" s="456"/>
      <c r="CT108" s="456"/>
      <c r="CU108" s="456"/>
      <c r="CV108" s="456"/>
      <c r="CW108" s="456"/>
      <c r="CX108" s="457"/>
      <c r="CY108" s="456"/>
      <c r="CZ108" s="456"/>
      <c r="DA108" s="505" t="s">
        <v>324</v>
      </c>
      <c r="DB108" s="505"/>
      <c r="DC108" s="505"/>
      <c r="DD108" s="505"/>
      <c r="DE108" s="505"/>
      <c r="DF108" s="505"/>
      <c r="DG108" s="603" t="s">
        <v>325</v>
      </c>
      <c r="DH108" s="603"/>
      <c r="DI108" s="603"/>
      <c r="DJ108" s="603"/>
      <c r="DK108" s="603"/>
      <c r="DL108" s="603"/>
      <c r="DM108" s="601" t="s">
        <v>272</v>
      </c>
      <c r="DN108" s="601"/>
      <c r="DO108" s="601"/>
      <c r="DP108" s="601"/>
      <c r="DQ108" s="601"/>
      <c r="DR108" s="602" t="s">
        <v>282</v>
      </c>
      <c r="DS108" s="598" t="s">
        <v>265</v>
      </c>
      <c r="DT108" s="598"/>
      <c r="DU108" s="598"/>
      <c r="DV108" s="598"/>
      <c r="DW108" s="598"/>
      <c r="DX108" s="598"/>
      <c r="DY108" s="596" t="s">
        <v>261</v>
      </c>
      <c r="DZ108" s="596"/>
      <c r="EA108" s="596"/>
      <c r="EB108" s="596"/>
      <c r="EC108" s="596"/>
      <c r="ED108" s="596"/>
      <c r="EE108" s="471" t="s">
        <v>77</v>
      </c>
      <c r="EF108" s="471"/>
      <c r="EG108" s="471"/>
      <c r="EH108" s="471"/>
      <c r="EI108" s="471"/>
      <c r="EJ108" s="471"/>
      <c r="EK108" s="473" t="s">
        <v>66</v>
      </c>
      <c r="EL108" s="457"/>
      <c r="EM108" s="457"/>
      <c r="EN108" s="473"/>
      <c r="EO108" s="473"/>
      <c r="EP108" s="473"/>
      <c r="EQ108" s="473"/>
      <c r="ER108" s="473"/>
      <c r="ES108" s="592" t="s">
        <v>247</v>
      </c>
      <c r="ET108" s="592"/>
      <c r="EU108" s="592"/>
      <c r="EV108" s="592"/>
      <c r="EW108" s="592"/>
      <c r="EX108" s="592"/>
      <c r="EY108" s="591" t="s">
        <v>242</v>
      </c>
      <c r="EZ108" s="591"/>
      <c r="FA108" s="591"/>
      <c r="FB108" s="591"/>
      <c r="FC108" s="591"/>
      <c r="FD108" s="591"/>
      <c r="FE108" s="3" t="s">
        <v>238</v>
      </c>
      <c r="FF108" s="3" t="s">
        <v>243</v>
      </c>
      <c r="FG108" s="456"/>
      <c r="FH108" s="456"/>
      <c r="FI108" s="456"/>
      <c r="FJ108" s="456"/>
      <c r="FK108" s="456"/>
      <c r="FL108" s="456"/>
      <c r="FM108" s="456"/>
      <c r="FN108" s="456"/>
      <c r="FO108" s="456"/>
      <c r="FP108" s="456"/>
      <c r="FQ108" s="456"/>
      <c r="FR108" s="456"/>
      <c r="FS108" s="456"/>
      <c r="FT108" s="456"/>
      <c r="FU108" s="456"/>
      <c r="FV108" s="456"/>
      <c r="FW108" s="456"/>
      <c r="FX108" s="456"/>
      <c r="FY108" s="456"/>
      <c r="FZ108" s="456"/>
      <c r="GA108" s="456"/>
      <c r="GB108" s="456"/>
      <c r="GC108" s="456"/>
      <c r="GD108" s="456"/>
      <c r="GE108" s="456"/>
      <c r="GF108" s="456"/>
      <c r="GG108" s="456"/>
      <c r="GH108" s="456"/>
      <c r="GI108" s="456"/>
      <c r="GJ108" s="457"/>
      <c r="GK108" s="457"/>
      <c r="GL108" s="456"/>
      <c r="GM108" s="456"/>
      <c r="GN108" s="456"/>
      <c r="GO108" s="456"/>
      <c r="GP108" s="456"/>
      <c r="GQ108" s="456"/>
      <c r="GR108" s="456"/>
      <c r="GS108" s="456"/>
      <c r="GT108" s="456"/>
      <c r="GU108" s="456"/>
      <c r="GV108" s="456"/>
      <c r="GW108" s="456"/>
      <c r="GX108" s="456"/>
      <c r="GY108" s="456"/>
      <c r="GZ108" s="456"/>
      <c r="HA108" s="456"/>
      <c r="HB108" s="456"/>
      <c r="HC108" s="456"/>
      <c r="HD108" s="456"/>
      <c r="HE108" s="456"/>
      <c r="HF108" s="456"/>
      <c r="HG108" s="456"/>
      <c r="HH108" s="456"/>
      <c r="HI108" s="456"/>
      <c r="HJ108" s="456"/>
      <c r="HK108" s="456"/>
      <c r="HL108" s="456"/>
      <c r="HM108" s="456"/>
      <c r="HN108" s="456"/>
      <c r="HO108" s="456"/>
      <c r="HP108" s="465"/>
      <c r="HQ108" s="456"/>
      <c r="HR108" s="456"/>
      <c r="HS108" s="456"/>
      <c r="HT108" s="456"/>
      <c r="HU108" s="456"/>
      <c r="HV108" s="456"/>
      <c r="HW108" s="456"/>
      <c r="HX108" s="456"/>
      <c r="HY108" s="456"/>
      <c r="HZ108" s="456"/>
      <c r="IA108" s="456"/>
      <c r="IB108" s="456"/>
      <c r="IC108" s="456"/>
      <c r="ID108" s="456"/>
      <c r="IE108" s="456"/>
      <c r="IF108" s="456"/>
      <c r="IG108" s="456"/>
      <c r="IH108" s="456"/>
      <c r="II108" s="456"/>
      <c r="IJ108" s="456"/>
      <c r="IK108" s="456"/>
      <c r="IL108" s="456"/>
      <c r="IM108" s="456"/>
      <c r="IN108" s="457"/>
      <c r="IO108" s="457"/>
      <c r="IP108" s="456"/>
      <c r="IQ108" s="456"/>
      <c r="IR108" s="456"/>
      <c r="IS108" s="456"/>
      <c r="IT108" s="456"/>
      <c r="IU108" s="456"/>
      <c r="IV108" s="456"/>
      <c r="IW108" s="456"/>
      <c r="IX108" s="456"/>
      <c r="IY108" s="456"/>
      <c r="IZ108" s="456"/>
      <c r="JA108" s="456"/>
      <c r="JB108" s="456"/>
      <c r="JC108" s="456"/>
      <c r="JD108" s="456"/>
      <c r="JE108" s="456"/>
      <c r="JF108" s="456"/>
      <c r="JG108" s="456"/>
      <c r="JH108" s="456"/>
      <c r="JI108" s="456"/>
      <c r="JJ108" s="456"/>
      <c r="JK108" s="456"/>
      <c r="JL108" s="456"/>
      <c r="JM108" s="456"/>
      <c r="JN108" s="456"/>
      <c r="JO108" s="456"/>
      <c r="JP108" s="456"/>
      <c r="JQ108" s="456"/>
      <c r="JR108" s="456"/>
      <c r="JS108" s="456"/>
      <c r="JT108" s="456"/>
      <c r="JU108" s="456"/>
      <c r="JV108" s="456"/>
      <c r="JW108" s="456"/>
      <c r="JX108" s="456"/>
      <c r="JY108" s="456"/>
      <c r="JZ108" s="456"/>
      <c r="KA108" s="456"/>
      <c r="KB108" s="456"/>
      <c r="KC108" s="456"/>
      <c r="KD108" s="456"/>
      <c r="KE108" s="456"/>
      <c r="KF108" s="456"/>
    </row>
    <row r="109" spans="1:292" ht="70" customHeight="1">
      <c r="A109" s="170" t="s">
        <v>378</v>
      </c>
      <c r="B109" s="334">
        <v>51</v>
      </c>
      <c r="C109" s="334"/>
      <c r="D109" s="334"/>
      <c r="E109" s="334"/>
      <c r="F109" s="335" t="s">
        <v>704</v>
      </c>
      <c r="G109" s="78" t="s">
        <v>379</v>
      </c>
      <c r="H109" s="78"/>
      <c r="I109" s="69" t="s">
        <v>725</v>
      </c>
      <c r="J109" s="155" t="s">
        <v>743</v>
      </c>
      <c r="K109" s="244" t="s">
        <v>270</v>
      </c>
      <c r="L109" s="41" t="s">
        <v>55</v>
      </c>
      <c r="M109" s="33">
        <v>46254</v>
      </c>
      <c r="N109" s="42"/>
      <c r="O109" s="33">
        <v>46459</v>
      </c>
      <c r="P109" s="628">
        <f t="shared" ref="P109:P114" si="35">P108+42</f>
        <v>46207</v>
      </c>
      <c r="Q109" s="628">
        <f t="shared" si="33"/>
        <v>46249</v>
      </c>
      <c r="R109" s="628">
        <v>46466</v>
      </c>
      <c r="S109" s="87"/>
      <c r="T109" s="585">
        <f t="shared" si="34"/>
        <v>46606</v>
      </c>
      <c r="U109" s="364">
        <f t="shared" si="29"/>
        <v>147</v>
      </c>
      <c r="V109" s="272"/>
      <c r="W109" s="452" t="s">
        <v>738</v>
      </c>
      <c r="X109" s="465"/>
      <c r="Y109" s="465"/>
      <c r="Z109" s="465"/>
      <c r="AA109" s="465"/>
      <c r="AB109" s="465"/>
      <c r="AC109" s="465"/>
      <c r="AD109" s="465"/>
      <c r="AE109" s="465"/>
      <c r="AF109" s="465"/>
      <c r="AG109" s="340"/>
      <c r="AH109" s="465"/>
      <c r="AI109" s="465"/>
      <c r="AJ109" s="457"/>
      <c r="AK109" s="457"/>
      <c r="AL109" s="465"/>
      <c r="AM109" s="465"/>
      <c r="AN109" s="465"/>
      <c r="AO109" s="465"/>
      <c r="AP109" s="465"/>
      <c r="AQ109" s="465"/>
      <c r="AR109" s="465"/>
      <c r="AS109" s="7"/>
      <c r="AT109" s="7"/>
      <c r="AU109" s="456"/>
      <c r="AV109" s="340"/>
      <c r="AW109" s="465"/>
      <c r="AX109" s="456"/>
      <c r="AY109" s="465"/>
      <c r="AZ109" s="465"/>
      <c r="BA109" s="465"/>
      <c r="BB109" s="465"/>
      <c r="BC109" s="465"/>
      <c r="BD109" s="465"/>
      <c r="BE109" s="465"/>
      <c r="BF109" s="590"/>
      <c r="BG109" s="465"/>
      <c r="BH109" s="465"/>
      <c r="BI109" s="465"/>
      <c r="BJ109" s="465"/>
      <c r="BK109" s="465"/>
      <c r="BL109" s="465"/>
      <c r="BM109" s="465"/>
      <c r="BN109" s="465"/>
      <c r="BO109" s="465"/>
      <c r="BP109" s="465"/>
      <c r="BQ109" s="465"/>
      <c r="BR109" s="465"/>
      <c r="BS109" s="465"/>
      <c r="BT109" s="465"/>
      <c r="BU109" s="465"/>
      <c r="BV109" s="7"/>
      <c r="BW109" s="7"/>
      <c r="BX109" s="456"/>
      <c r="BY109" s="456"/>
      <c r="BZ109" s="456"/>
      <c r="CA109" s="7"/>
      <c r="CB109" s="456"/>
      <c r="CC109" s="465"/>
      <c r="CD109" s="465"/>
      <c r="CE109" s="465"/>
      <c r="CF109" s="7"/>
      <c r="CG109" s="7"/>
      <c r="CH109" s="465"/>
      <c r="CI109" s="7"/>
      <c r="CJ109" s="7"/>
      <c r="CK109" s="465"/>
      <c r="CL109" s="465"/>
      <c r="CM109" s="457"/>
      <c r="CN109" s="457"/>
      <c r="CO109" s="456"/>
      <c r="CP109" s="465"/>
      <c r="CQ109" s="465"/>
      <c r="CR109" s="465"/>
      <c r="CS109" s="456"/>
      <c r="CT109" s="465"/>
      <c r="CU109" s="456"/>
      <c r="CV109" s="456"/>
      <c r="CW109" s="456"/>
      <c r="CX109" s="457"/>
      <c r="CY109" s="456"/>
      <c r="CZ109" s="456"/>
      <c r="DA109" s="456"/>
      <c r="DB109" s="456"/>
      <c r="DC109" s="456"/>
      <c r="DD109" s="456"/>
      <c r="DE109" s="456"/>
      <c r="DF109" s="456"/>
      <c r="DG109" s="505" t="s">
        <v>324</v>
      </c>
      <c r="DH109" s="505"/>
      <c r="DI109" s="505"/>
      <c r="DJ109" s="505"/>
      <c r="DK109" s="505"/>
      <c r="DL109" s="505"/>
      <c r="DM109" s="603" t="s">
        <v>325</v>
      </c>
      <c r="DN109" s="603"/>
      <c r="DO109" s="603"/>
      <c r="DP109" s="603"/>
      <c r="DQ109" s="603"/>
      <c r="DR109" s="603"/>
      <c r="DS109" s="601" t="s">
        <v>272</v>
      </c>
      <c r="DT109" s="601"/>
      <c r="DU109" s="601"/>
      <c r="DV109" s="601"/>
      <c r="DW109" s="601"/>
      <c r="DX109" s="602" t="s">
        <v>282</v>
      </c>
      <c r="DY109" s="598" t="s">
        <v>265</v>
      </c>
      <c r="DZ109" s="598"/>
      <c r="EA109" s="598"/>
      <c r="EB109" s="598"/>
      <c r="EC109" s="598"/>
      <c r="ED109" s="598"/>
      <c r="EE109" s="596" t="s">
        <v>261</v>
      </c>
      <c r="EF109" s="596"/>
      <c r="EG109" s="596"/>
      <c r="EH109" s="596"/>
      <c r="EI109" s="596"/>
      <c r="EJ109" s="596"/>
      <c r="EK109" s="471" t="s">
        <v>77</v>
      </c>
      <c r="EL109" s="457"/>
      <c r="EM109" s="457"/>
      <c r="EN109" s="471"/>
      <c r="EO109" s="471"/>
      <c r="EP109" s="471"/>
      <c r="EQ109" s="471"/>
      <c r="ER109" s="471"/>
      <c r="ES109" s="473" t="s">
        <v>66</v>
      </c>
      <c r="ET109" s="473"/>
      <c r="EU109" s="473"/>
      <c r="EV109" s="473"/>
      <c r="EW109" s="473"/>
      <c r="EX109" s="473"/>
      <c r="EY109" s="592" t="s">
        <v>247</v>
      </c>
      <c r="EZ109" s="592"/>
      <c r="FA109" s="592"/>
      <c r="FB109" s="592"/>
      <c r="FC109" s="592"/>
      <c r="FD109" s="592"/>
      <c r="FE109" s="591" t="s">
        <v>242</v>
      </c>
      <c r="FF109" s="591"/>
      <c r="FG109" s="591"/>
      <c r="FH109" s="591"/>
      <c r="FI109" s="591"/>
      <c r="FJ109" s="591"/>
      <c r="FK109" s="3" t="s">
        <v>238</v>
      </c>
      <c r="FL109" s="3" t="s">
        <v>243</v>
      </c>
      <c r="FM109" s="456"/>
      <c r="FN109" s="456"/>
      <c r="FO109" s="456"/>
      <c r="FP109" s="456"/>
      <c r="FQ109" s="456"/>
      <c r="FR109" s="456"/>
      <c r="FS109" s="456"/>
      <c r="FT109" s="456"/>
      <c r="FU109" s="456"/>
      <c r="FV109" s="456"/>
      <c r="FW109" s="456"/>
      <c r="FX109" s="456"/>
      <c r="FY109" s="456"/>
      <c r="FZ109" s="456"/>
      <c r="GA109" s="456"/>
      <c r="GB109" s="456"/>
      <c r="GC109" s="456"/>
      <c r="GD109" s="456"/>
      <c r="GE109" s="456"/>
      <c r="GF109" s="456"/>
      <c r="GG109" s="456"/>
      <c r="GH109" s="456"/>
      <c r="GI109" s="456"/>
      <c r="GJ109" s="457"/>
      <c r="GK109" s="457"/>
      <c r="GL109" s="456"/>
      <c r="GM109" s="456"/>
      <c r="GN109" s="456"/>
      <c r="GO109" s="456"/>
      <c r="GP109" s="456"/>
      <c r="GQ109" s="456"/>
      <c r="GR109" s="456"/>
      <c r="GS109" s="456"/>
      <c r="GT109" s="456"/>
      <c r="GU109" s="456"/>
      <c r="GV109" s="456"/>
      <c r="GW109" s="456"/>
      <c r="GX109" s="456"/>
      <c r="GY109" s="456"/>
      <c r="GZ109" s="456"/>
      <c r="HA109" s="456"/>
      <c r="HB109" s="456"/>
      <c r="HC109" s="456"/>
      <c r="HD109" s="456"/>
      <c r="HE109" s="456"/>
      <c r="HF109" s="456"/>
      <c r="HG109" s="456"/>
      <c r="HH109" s="456"/>
      <c r="HI109" s="456"/>
      <c r="HJ109" s="456"/>
      <c r="HK109" s="456"/>
      <c r="HL109" s="456"/>
      <c r="HM109" s="456"/>
      <c r="HN109" s="456"/>
      <c r="HO109" s="456"/>
      <c r="HP109" s="465"/>
      <c r="HQ109" s="456"/>
      <c r="HR109" s="456"/>
      <c r="HS109" s="456"/>
      <c r="HT109" s="456"/>
      <c r="HU109" s="456"/>
      <c r="HV109" s="456"/>
      <c r="HW109" s="456"/>
      <c r="HX109" s="456"/>
      <c r="HY109" s="456"/>
      <c r="HZ109" s="456"/>
      <c r="IA109" s="456"/>
      <c r="IB109" s="456"/>
      <c r="IC109" s="456"/>
      <c r="ID109" s="456"/>
      <c r="IE109" s="456"/>
      <c r="IF109" s="456"/>
      <c r="IG109" s="456"/>
      <c r="IH109" s="456"/>
      <c r="II109" s="456"/>
      <c r="IJ109" s="456"/>
      <c r="IK109" s="456"/>
      <c r="IL109" s="456"/>
      <c r="IM109" s="456"/>
      <c r="IN109" s="457"/>
      <c r="IO109" s="457"/>
      <c r="IP109" s="456"/>
      <c r="IQ109" s="456"/>
      <c r="IR109" s="456"/>
      <c r="IS109" s="456"/>
      <c r="IT109" s="456"/>
      <c r="IU109" s="456"/>
      <c r="IV109" s="456"/>
      <c r="IW109" s="456"/>
      <c r="IX109" s="456"/>
      <c r="IY109" s="456"/>
      <c r="IZ109" s="456"/>
      <c r="JA109" s="456"/>
      <c r="JB109" s="456"/>
      <c r="JC109" s="456"/>
      <c r="JD109" s="456"/>
      <c r="JE109" s="456"/>
      <c r="JF109" s="456"/>
      <c r="JG109" s="456"/>
      <c r="JH109" s="456"/>
      <c r="JI109" s="456"/>
      <c r="JJ109" s="456"/>
      <c r="JK109" s="456"/>
      <c r="JL109" s="456"/>
      <c r="JM109" s="456"/>
      <c r="JN109" s="456"/>
      <c r="JO109" s="456"/>
      <c r="JP109" s="456"/>
      <c r="JQ109" s="456"/>
      <c r="JR109" s="456"/>
      <c r="JS109" s="456"/>
      <c r="JT109" s="456"/>
      <c r="JU109" s="456"/>
      <c r="JV109" s="456"/>
      <c r="JW109" s="456"/>
      <c r="JX109" s="456"/>
      <c r="JY109" s="456"/>
      <c r="JZ109" s="456"/>
      <c r="KA109" s="456"/>
      <c r="KB109" s="456"/>
      <c r="KC109" s="456"/>
      <c r="KD109" s="456"/>
      <c r="KE109" s="456"/>
      <c r="KF109" s="456"/>
    </row>
    <row r="110" spans="1:292" ht="70" customHeight="1">
      <c r="A110" s="170" t="s">
        <v>381</v>
      </c>
      <c r="B110" s="334">
        <v>52</v>
      </c>
      <c r="C110" s="334"/>
      <c r="D110" s="334"/>
      <c r="E110" s="334"/>
      <c r="F110" s="335" t="s">
        <v>704</v>
      </c>
      <c r="G110" s="78" t="s">
        <v>234</v>
      </c>
      <c r="H110" s="78"/>
      <c r="I110" s="41" t="s">
        <v>680</v>
      </c>
      <c r="J110" s="155" t="s">
        <v>744</v>
      </c>
      <c r="K110" s="244" t="s">
        <v>270</v>
      </c>
      <c r="L110" s="41" t="s">
        <v>55</v>
      </c>
      <c r="M110" s="33">
        <v>46197</v>
      </c>
      <c r="N110" s="42">
        <v>46411</v>
      </c>
      <c r="O110" s="33">
        <v>46411</v>
      </c>
      <c r="P110" s="628">
        <f t="shared" si="35"/>
        <v>46249</v>
      </c>
      <c r="Q110" s="628">
        <f t="shared" si="33"/>
        <v>46291</v>
      </c>
      <c r="R110" s="628">
        <f>R109+42</f>
        <v>46508</v>
      </c>
      <c r="S110" s="87"/>
      <c r="T110" s="585">
        <f t="shared" si="34"/>
        <v>46648</v>
      </c>
      <c r="U110" s="364">
        <f t="shared" si="29"/>
        <v>237</v>
      </c>
      <c r="V110" s="271"/>
      <c r="W110" s="452" t="s">
        <v>738</v>
      </c>
      <c r="X110" s="465"/>
      <c r="Y110" s="465"/>
      <c r="Z110" s="465"/>
      <c r="AA110" s="465"/>
      <c r="AB110" s="465"/>
      <c r="AC110" s="465"/>
      <c r="AD110" s="465"/>
      <c r="AE110" s="465"/>
      <c r="AF110" s="465"/>
      <c r="AG110" s="340"/>
      <c r="AH110" s="465"/>
      <c r="AI110" s="465"/>
      <c r="AJ110" s="457"/>
      <c r="AK110" s="457"/>
      <c r="AL110" s="465"/>
      <c r="AM110" s="465"/>
      <c r="AN110" s="465"/>
      <c r="AO110" s="465"/>
      <c r="AP110" s="465"/>
      <c r="AQ110" s="465"/>
      <c r="AR110" s="465"/>
      <c r="AS110" s="7"/>
      <c r="AT110" s="7"/>
      <c r="AU110" s="456"/>
      <c r="AV110" s="340"/>
      <c r="AW110" s="465"/>
      <c r="AX110" s="456"/>
      <c r="AY110" s="465"/>
      <c r="AZ110" s="465"/>
      <c r="BA110" s="465"/>
      <c r="BB110" s="465"/>
      <c r="BC110" s="465"/>
      <c r="BD110" s="465"/>
      <c r="BE110" s="465"/>
      <c r="BF110" s="590"/>
      <c r="BG110" s="465"/>
      <c r="BH110" s="465"/>
      <c r="BI110" s="465"/>
      <c r="BJ110" s="465"/>
      <c r="BK110" s="465"/>
      <c r="BL110" s="465"/>
      <c r="BM110" s="465"/>
      <c r="BN110" s="465"/>
      <c r="BO110" s="465"/>
      <c r="BP110" s="465"/>
      <c r="BQ110" s="465"/>
      <c r="BR110" s="465"/>
      <c r="BS110" s="465"/>
      <c r="BT110" s="465"/>
      <c r="BU110" s="465"/>
      <c r="BV110" s="7"/>
      <c r="BW110" s="7"/>
      <c r="BX110" s="456"/>
      <c r="BY110" s="456"/>
      <c r="BZ110" s="456"/>
      <c r="CA110" s="7"/>
      <c r="CB110" s="456"/>
      <c r="CC110" s="465"/>
      <c r="CD110" s="465"/>
      <c r="CE110" s="465"/>
      <c r="CF110" s="7"/>
      <c r="CG110" s="7"/>
      <c r="CH110" s="465"/>
      <c r="CI110" s="7"/>
      <c r="CJ110" s="7"/>
      <c r="CK110" s="465"/>
      <c r="CL110" s="465"/>
      <c r="CM110" s="457"/>
      <c r="CN110" s="457"/>
      <c r="CO110" s="456"/>
      <c r="CP110" s="465"/>
      <c r="CQ110" s="465"/>
      <c r="CR110" s="465"/>
      <c r="CS110" s="465"/>
      <c r="CT110" s="7"/>
      <c r="CU110" s="465"/>
      <c r="CV110" s="465"/>
      <c r="CW110" s="456"/>
      <c r="CX110" s="457"/>
      <c r="CY110" s="456"/>
      <c r="CZ110" s="456"/>
      <c r="DA110" s="456"/>
      <c r="DB110" s="456"/>
      <c r="DC110" s="456"/>
      <c r="DD110" s="456"/>
      <c r="DE110" s="456"/>
      <c r="DF110" s="456"/>
      <c r="DG110" s="456"/>
      <c r="DH110" s="456"/>
      <c r="DI110" s="456"/>
      <c r="DJ110" s="456"/>
      <c r="DK110" s="456"/>
      <c r="DL110" s="456"/>
      <c r="DM110" s="505" t="s">
        <v>324</v>
      </c>
      <c r="DN110" s="505"/>
      <c r="DO110" s="505"/>
      <c r="DP110" s="505"/>
      <c r="DQ110" s="505"/>
      <c r="DR110" s="505"/>
      <c r="DS110" s="603" t="s">
        <v>325</v>
      </c>
      <c r="DT110" s="603"/>
      <c r="DU110" s="603"/>
      <c r="DV110" s="603"/>
      <c r="DW110" s="603"/>
      <c r="DX110" s="603"/>
      <c r="DY110" s="601" t="s">
        <v>272</v>
      </c>
      <c r="DZ110" s="601"/>
      <c r="EA110" s="601"/>
      <c r="EB110" s="601"/>
      <c r="EC110" s="601"/>
      <c r="ED110" s="602" t="s">
        <v>282</v>
      </c>
      <c r="EE110" s="598" t="s">
        <v>265</v>
      </c>
      <c r="EF110" s="598"/>
      <c r="EG110" s="598"/>
      <c r="EH110" s="598"/>
      <c r="EI110" s="598"/>
      <c r="EJ110" s="598"/>
      <c r="EK110" s="596" t="s">
        <v>261</v>
      </c>
      <c r="EL110" s="457"/>
      <c r="EM110" s="457"/>
      <c r="EN110" s="596"/>
      <c r="EO110" s="596"/>
      <c r="EP110" s="596"/>
      <c r="EQ110" s="596"/>
      <c r="ER110" s="596"/>
      <c r="ES110" s="471" t="s">
        <v>77</v>
      </c>
      <c r="ET110" s="471"/>
      <c r="EU110" s="471"/>
      <c r="EV110" s="471"/>
      <c r="EW110" s="471"/>
      <c r="EX110" s="471"/>
      <c r="EY110" s="473" t="s">
        <v>66</v>
      </c>
      <c r="EZ110" s="473"/>
      <c r="FA110" s="473"/>
      <c r="FB110" s="473"/>
      <c r="FC110" s="473"/>
      <c r="FD110" s="473"/>
      <c r="FE110" s="592" t="s">
        <v>247</v>
      </c>
      <c r="FF110" s="592"/>
      <c r="FG110" s="592"/>
      <c r="FH110" s="592"/>
      <c r="FI110" s="592"/>
      <c r="FJ110" s="592"/>
      <c r="FK110" s="591" t="s">
        <v>242</v>
      </c>
      <c r="FL110" s="591"/>
      <c r="FM110" s="591"/>
      <c r="FN110" s="591"/>
      <c r="FO110" s="591"/>
      <c r="FP110" s="591"/>
      <c r="FQ110" s="3" t="s">
        <v>238</v>
      </c>
      <c r="FR110" s="3" t="s">
        <v>243</v>
      </c>
      <c r="FS110" s="456"/>
      <c r="FT110" s="456"/>
      <c r="FU110" s="456"/>
      <c r="FV110" s="456"/>
      <c r="FW110" s="456"/>
      <c r="FX110" s="456"/>
      <c r="FY110" s="456"/>
      <c r="FZ110" s="456"/>
      <c r="GA110" s="456"/>
      <c r="GB110" s="456"/>
      <c r="GC110" s="456"/>
      <c r="GD110" s="456"/>
      <c r="GE110" s="456"/>
      <c r="GF110" s="456"/>
      <c r="GG110" s="456"/>
      <c r="GH110" s="456"/>
      <c r="GI110" s="456"/>
      <c r="GJ110" s="457"/>
      <c r="GK110" s="457"/>
      <c r="GL110" s="456"/>
      <c r="GM110" s="456"/>
      <c r="GN110" s="456"/>
      <c r="GO110" s="456"/>
      <c r="GP110" s="456"/>
      <c r="GQ110" s="456"/>
      <c r="GR110" s="456"/>
      <c r="GS110" s="456"/>
      <c r="GT110" s="456"/>
      <c r="GU110" s="456"/>
      <c r="GV110" s="456"/>
      <c r="GW110" s="456"/>
      <c r="GX110" s="456"/>
      <c r="GY110" s="456"/>
      <c r="GZ110" s="456"/>
      <c r="HA110" s="456"/>
      <c r="HB110" s="456"/>
      <c r="HC110" s="456"/>
      <c r="HD110" s="456"/>
      <c r="HE110" s="456"/>
      <c r="HF110" s="456"/>
      <c r="HG110" s="456"/>
      <c r="HH110" s="456"/>
      <c r="HI110" s="456"/>
      <c r="HJ110" s="456"/>
      <c r="HK110" s="456"/>
      <c r="HL110" s="456"/>
      <c r="HM110" s="456"/>
      <c r="HN110" s="456"/>
      <c r="HO110" s="456"/>
      <c r="HP110" s="465"/>
      <c r="HQ110" s="456"/>
      <c r="HR110" s="456"/>
      <c r="HS110" s="456"/>
      <c r="HT110" s="456"/>
      <c r="HU110" s="456"/>
      <c r="HV110" s="456"/>
      <c r="HW110" s="456"/>
      <c r="HX110" s="456"/>
      <c r="HY110" s="456"/>
      <c r="HZ110" s="456"/>
      <c r="IA110" s="456"/>
      <c r="IB110" s="456"/>
      <c r="IC110" s="456"/>
      <c r="ID110" s="456"/>
      <c r="IE110" s="456"/>
      <c r="IF110" s="456"/>
      <c r="IG110" s="456"/>
      <c r="IH110" s="456"/>
      <c r="II110" s="456"/>
      <c r="IJ110" s="456"/>
      <c r="IK110" s="456"/>
      <c r="IL110" s="456"/>
      <c r="IM110" s="456"/>
      <c r="IN110" s="457"/>
      <c r="IO110" s="457"/>
      <c r="IP110" s="456"/>
      <c r="IQ110" s="456"/>
      <c r="IR110" s="456"/>
      <c r="IS110" s="456"/>
      <c r="IT110" s="456"/>
      <c r="IU110" s="456"/>
      <c r="IV110" s="456"/>
      <c r="IW110" s="456"/>
      <c r="IX110" s="456"/>
      <c r="IY110" s="456"/>
      <c r="IZ110" s="456"/>
      <c r="JA110" s="456"/>
      <c r="JB110" s="456"/>
      <c r="JC110" s="456"/>
      <c r="JD110" s="456"/>
      <c r="JE110" s="456"/>
      <c r="JF110" s="456"/>
      <c r="JG110" s="456"/>
      <c r="JH110" s="456"/>
      <c r="JI110" s="456"/>
      <c r="JJ110" s="456"/>
      <c r="JK110" s="456"/>
      <c r="JL110" s="456"/>
      <c r="JM110" s="456"/>
      <c r="JN110" s="456"/>
      <c r="JO110" s="456"/>
      <c r="JP110" s="456"/>
      <c r="JQ110" s="456"/>
      <c r="JR110" s="456"/>
      <c r="JS110" s="456"/>
      <c r="JT110" s="456"/>
      <c r="JU110" s="456"/>
      <c r="JV110" s="456"/>
      <c r="JW110" s="456"/>
      <c r="JX110" s="456"/>
      <c r="JY110" s="456"/>
      <c r="JZ110" s="456"/>
      <c r="KA110" s="456"/>
      <c r="KB110" s="456"/>
      <c r="KC110" s="456"/>
      <c r="KD110" s="456"/>
      <c r="KE110" s="456"/>
      <c r="KF110" s="456"/>
    </row>
    <row r="111" spans="1:292" ht="70" customHeight="1">
      <c r="A111" s="170" t="s">
        <v>382</v>
      </c>
      <c r="B111" s="334">
        <v>53</v>
      </c>
      <c r="C111" s="334"/>
      <c r="D111" s="334"/>
      <c r="E111" s="334"/>
      <c r="F111" s="335" t="s">
        <v>704</v>
      </c>
      <c r="G111" s="78" t="s">
        <v>234</v>
      </c>
      <c r="H111" s="78"/>
      <c r="I111" s="104" t="s">
        <v>54</v>
      </c>
      <c r="J111" s="156" t="s">
        <v>115</v>
      </c>
      <c r="K111" s="245"/>
      <c r="L111" s="41" t="s">
        <v>55</v>
      </c>
      <c r="M111" s="33"/>
      <c r="N111" s="42"/>
      <c r="O111" s="33"/>
      <c r="P111" s="628">
        <f t="shared" si="35"/>
        <v>46291</v>
      </c>
      <c r="Q111" s="628">
        <f t="shared" si="33"/>
        <v>46333</v>
      </c>
      <c r="R111" s="628">
        <f t="shared" si="33"/>
        <v>46550</v>
      </c>
      <c r="S111" s="87"/>
      <c r="T111" s="585">
        <f t="shared" si="34"/>
        <v>46690</v>
      </c>
      <c r="U111" s="364"/>
      <c r="V111" s="272"/>
      <c r="W111" s="452" t="s">
        <v>738</v>
      </c>
      <c r="X111" s="465"/>
      <c r="Y111" s="465"/>
      <c r="Z111" s="465"/>
      <c r="AA111" s="465"/>
      <c r="AB111" s="465"/>
      <c r="AC111" s="465"/>
      <c r="AD111" s="465"/>
      <c r="AE111" s="465"/>
      <c r="AF111" s="465"/>
      <c r="AG111" s="340"/>
      <c r="AH111" s="465"/>
      <c r="AI111" s="465"/>
      <c r="AJ111" s="457"/>
      <c r="AK111" s="457"/>
      <c r="AL111" s="465"/>
      <c r="AM111" s="465"/>
      <c r="AN111" s="465"/>
      <c r="AO111" s="465"/>
      <c r="AP111" s="465"/>
      <c r="AQ111" s="465"/>
      <c r="AR111" s="465"/>
      <c r="AS111" s="7"/>
      <c r="AT111" s="7"/>
      <c r="AU111" s="456"/>
      <c r="AV111" s="340"/>
      <c r="AW111" s="465"/>
      <c r="AX111" s="456"/>
      <c r="AY111" s="465"/>
      <c r="AZ111" s="465"/>
      <c r="BA111" s="465"/>
      <c r="BB111" s="465"/>
      <c r="BC111" s="465"/>
      <c r="BD111" s="465"/>
      <c r="BE111" s="465"/>
      <c r="BF111" s="590"/>
      <c r="BG111" s="465"/>
      <c r="BH111" s="465"/>
      <c r="BI111" s="465"/>
      <c r="BJ111" s="465"/>
      <c r="BK111" s="465"/>
      <c r="BL111" s="465"/>
      <c r="BM111" s="465"/>
      <c r="BN111" s="465"/>
      <c r="BO111" s="465"/>
      <c r="BP111" s="465"/>
      <c r="BQ111" s="465"/>
      <c r="BR111" s="465"/>
      <c r="BS111" s="465"/>
      <c r="BT111" s="465"/>
      <c r="BU111" s="465"/>
      <c r="BV111" s="7"/>
      <c r="BW111" s="7"/>
      <c r="BX111" s="456"/>
      <c r="BY111" s="456"/>
      <c r="BZ111" s="456"/>
      <c r="CA111" s="7"/>
      <c r="CB111" s="456"/>
      <c r="CC111" s="465"/>
      <c r="CD111" s="465"/>
      <c r="CE111" s="465"/>
      <c r="CF111" s="7"/>
      <c r="CG111" s="7"/>
      <c r="CH111" s="465"/>
      <c r="CI111" s="7"/>
      <c r="CJ111" s="7"/>
      <c r="CK111" s="465"/>
      <c r="CL111" s="465"/>
      <c r="CM111" s="457"/>
      <c r="CN111" s="457"/>
      <c r="CO111" s="456"/>
      <c r="CP111" s="465"/>
      <c r="CQ111" s="465"/>
      <c r="CR111" s="465"/>
      <c r="CS111" s="465"/>
      <c r="CT111" s="465"/>
      <c r="CU111" s="465"/>
      <c r="CV111" s="465"/>
      <c r="CW111" s="456"/>
      <c r="CX111" s="457"/>
      <c r="CY111" s="456"/>
      <c r="CZ111" s="456"/>
      <c r="DA111" s="465"/>
      <c r="DB111" s="465"/>
      <c r="DC111" s="456"/>
      <c r="DD111" s="456"/>
      <c r="DE111" s="456"/>
      <c r="DF111" s="456"/>
      <c r="DG111" s="456"/>
      <c r="DH111" s="456"/>
      <c r="DI111" s="456"/>
      <c r="DJ111" s="456"/>
      <c r="DK111" s="456"/>
      <c r="DL111" s="456"/>
      <c r="DM111" s="456"/>
      <c r="DN111" s="456"/>
      <c r="DO111" s="456"/>
      <c r="DP111" s="456"/>
      <c r="DQ111" s="456"/>
      <c r="DR111" s="456"/>
      <c r="DS111" s="505" t="s">
        <v>324</v>
      </c>
      <c r="DT111" s="505"/>
      <c r="DU111" s="505"/>
      <c r="DV111" s="505"/>
      <c r="DW111" s="505"/>
      <c r="DX111" s="505"/>
      <c r="DY111" s="603" t="s">
        <v>325</v>
      </c>
      <c r="DZ111" s="603"/>
      <c r="EA111" s="603"/>
      <c r="EB111" s="603"/>
      <c r="EC111" s="603"/>
      <c r="ED111" s="603"/>
      <c r="EE111" s="601" t="s">
        <v>272</v>
      </c>
      <c r="EF111" s="601"/>
      <c r="EG111" s="601"/>
      <c r="EH111" s="601"/>
      <c r="EI111" s="601"/>
      <c r="EJ111" s="602" t="s">
        <v>282</v>
      </c>
      <c r="EK111" s="598" t="s">
        <v>265</v>
      </c>
      <c r="EL111" s="457"/>
      <c r="EM111" s="457"/>
      <c r="EN111" s="598"/>
      <c r="EO111" s="598"/>
      <c r="EP111" s="598"/>
      <c r="EQ111" s="598"/>
      <c r="ER111" s="598"/>
      <c r="ES111" s="596" t="s">
        <v>261</v>
      </c>
      <c r="ET111" s="596"/>
      <c r="EU111" s="596"/>
      <c r="EV111" s="596"/>
      <c r="EW111" s="596"/>
      <c r="EX111" s="596"/>
      <c r="EY111" s="471" t="s">
        <v>77</v>
      </c>
      <c r="EZ111" s="471"/>
      <c r="FA111" s="471"/>
      <c r="FB111" s="471"/>
      <c r="FC111" s="471"/>
      <c r="FD111" s="471"/>
      <c r="FE111" s="473" t="s">
        <v>66</v>
      </c>
      <c r="FF111" s="473"/>
      <c r="FG111" s="473"/>
      <c r="FH111" s="473"/>
      <c r="FI111" s="473"/>
      <c r="FJ111" s="473"/>
      <c r="FK111" s="592" t="s">
        <v>247</v>
      </c>
      <c r="FL111" s="592"/>
      <c r="FM111" s="592"/>
      <c r="FN111" s="592"/>
      <c r="FO111" s="592"/>
      <c r="FP111" s="592"/>
      <c r="FQ111" s="591" t="s">
        <v>242</v>
      </c>
      <c r="FR111" s="591"/>
      <c r="FS111" s="591"/>
      <c r="FT111" s="591"/>
      <c r="FU111" s="591"/>
      <c r="FV111" s="591"/>
      <c r="FW111" s="3" t="s">
        <v>238</v>
      </c>
      <c r="FX111" s="3" t="s">
        <v>243</v>
      </c>
      <c r="FY111" s="456"/>
      <c r="FZ111" s="456"/>
      <c r="GA111" s="456"/>
      <c r="GB111" s="456"/>
      <c r="GC111" s="456"/>
      <c r="GD111" s="456"/>
      <c r="GE111" s="456"/>
      <c r="GF111" s="456"/>
      <c r="GG111" s="456"/>
      <c r="GH111" s="456"/>
      <c r="GI111" s="456"/>
      <c r="GJ111" s="457"/>
      <c r="GK111" s="457"/>
      <c r="GL111" s="456"/>
      <c r="GM111" s="456"/>
      <c r="GN111" s="456"/>
      <c r="GO111" s="456"/>
      <c r="GP111" s="456"/>
      <c r="GQ111" s="456"/>
      <c r="GR111" s="456"/>
      <c r="GS111" s="456"/>
      <c r="GT111" s="456"/>
      <c r="GU111" s="456"/>
      <c r="GV111" s="456"/>
      <c r="GW111" s="456"/>
      <c r="GX111" s="456"/>
      <c r="GY111" s="456"/>
      <c r="GZ111" s="456"/>
      <c r="HA111" s="456"/>
      <c r="HB111" s="456"/>
      <c r="HC111" s="456"/>
      <c r="HD111" s="456"/>
      <c r="HE111" s="456"/>
      <c r="HF111" s="456"/>
      <c r="HG111" s="456"/>
      <c r="HH111" s="456"/>
      <c r="HI111" s="456"/>
      <c r="HJ111" s="456"/>
      <c r="HK111" s="456"/>
      <c r="HL111" s="456"/>
      <c r="HM111" s="456"/>
      <c r="HN111" s="456"/>
      <c r="HO111" s="456"/>
      <c r="HP111" s="465"/>
      <c r="HQ111" s="456"/>
      <c r="HR111" s="456"/>
      <c r="HS111" s="456"/>
      <c r="HT111" s="456"/>
      <c r="HU111" s="456"/>
      <c r="HV111" s="456"/>
      <c r="HW111" s="456"/>
      <c r="HX111" s="456"/>
      <c r="HY111" s="456"/>
      <c r="HZ111" s="456"/>
      <c r="IA111" s="456"/>
      <c r="IB111" s="456"/>
      <c r="IC111" s="456"/>
      <c r="ID111" s="456"/>
      <c r="IE111" s="456"/>
      <c r="IF111" s="456"/>
      <c r="IG111" s="456"/>
      <c r="IH111" s="456"/>
      <c r="II111" s="456"/>
      <c r="IJ111" s="456"/>
      <c r="IK111" s="456"/>
      <c r="IL111" s="456"/>
      <c r="IM111" s="456"/>
      <c r="IN111" s="457"/>
      <c r="IO111" s="457"/>
      <c r="IP111" s="456"/>
      <c r="IQ111" s="456"/>
      <c r="IR111" s="456"/>
      <c r="IS111" s="456"/>
      <c r="IT111" s="456"/>
      <c r="IU111" s="456"/>
      <c r="IV111" s="456"/>
      <c r="IW111" s="456"/>
      <c r="IX111" s="456"/>
      <c r="IY111" s="456"/>
      <c r="IZ111" s="456"/>
      <c r="JA111" s="456"/>
      <c r="JB111" s="456"/>
      <c r="JC111" s="456"/>
      <c r="JD111" s="456"/>
      <c r="JE111" s="456"/>
      <c r="JF111" s="456"/>
      <c r="JG111" s="456"/>
      <c r="JH111" s="456"/>
      <c r="JI111" s="456"/>
      <c r="JJ111" s="456"/>
      <c r="JK111" s="456"/>
      <c r="JL111" s="456"/>
      <c r="JM111" s="456"/>
      <c r="JN111" s="456"/>
      <c r="JO111" s="456"/>
      <c r="JP111" s="456"/>
      <c r="JQ111" s="456"/>
      <c r="JR111" s="456"/>
      <c r="JS111" s="456"/>
      <c r="JT111" s="456"/>
      <c r="JU111" s="456"/>
      <c r="JV111" s="456"/>
      <c r="JW111" s="456"/>
      <c r="JX111" s="456"/>
      <c r="JY111" s="456"/>
      <c r="JZ111" s="456"/>
      <c r="KA111" s="456"/>
      <c r="KB111" s="456"/>
      <c r="KC111" s="456"/>
      <c r="KD111" s="456"/>
      <c r="KE111" s="456"/>
      <c r="KF111" s="456"/>
    </row>
    <row r="112" spans="1:292" ht="70" customHeight="1">
      <c r="A112" s="170" t="s">
        <v>383</v>
      </c>
      <c r="B112" s="334">
        <v>54</v>
      </c>
      <c r="C112" s="334"/>
      <c r="D112" s="334"/>
      <c r="E112" s="334"/>
      <c r="F112" s="335" t="s">
        <v>704</v>
      </c>
      <c r="G112" s="78" t="s">
        <v>234</v>
      </c>
      <c r="H112" s="78"/>
      <c r="I112" s="104" t="s">
        <v>54</v>
      </c>
      <c r="J112" s="156" t="s">
        <v>115</v>
      </c>
      <c r="K112" s="245"/>
      <c r="L112" s="41" t="s">
        <v>55</v>
      </c>
      <c r="M112" s="33"/>
      <c r="N112" s="42"/>
      <c r="O112" s="33"/>
      <c r="P112" s="628">
        <f t="shared" si="35"/>
        <v>46333</v>
      </c>
      <c r="Q112" s="628">
        <f t="shared" si="33"/>
        <v>46375</v>
      </c>
      <c r="R112" s="628">
        <f t="shared" si="33"/>
        <v>46592</v>
      </c>
      <c r="S112" s="87"/>
      <c r="T112" s="585">
        <f t="shared" si="34"/>
        <v>46732</v>
      </c>
      <c r="U112" s="364"/>
      <c r="V112" s="272"/>
      <c r="W112" s="452" t="s">
        <v>738</v>
      </c>
      <c r="X112" s="465"/>
      <c r="Y112" s="465"/>
      <c r="Z112" s="465"/>
      <c r="AA112" s="465"/>
      <c r="AB112" s="465"/>
      <c r="AC112" s="465"/>
      <c r="AD112" s="465"/>
      <c r="AE112" s="465"/>
      <c r="AF112" s="465"/>
      <c r="AG112" s="340"/>
      <c r="AH112" s="465"/>
      <c r="AI112" s="465"/>
      <c r="AJ112" s="457"/>
      <c r="AK112" s="457"/>
      <c r="AL112" s="465"/>
      <c r="AM112" s="465"/>
      <c r="AN112" s="465"/>
      <c r="AO112" s="465"/>
      <c r="AP112" s="465"/>
      <c r="AQ112" s="465"/>
      <c r="AR112" s="465"/>
      <c r="AS112" s="7"/>
      <c r="AT112" s="7"/>
      <c r="AU112" s="456"/>
      <c r="AV112" s="340"/>
      <c r="AW112" s="465"/>
      <c r="AX112" s="456"/>
      <c r="AY112" s="465"/>
      <c r="AZ112" s="465"/>
      <c r="BA112" s="465"/>
      <c r="BB112" s="465"/>
      <c r="BC112" s="465"/>
      <c r="BD112" s="465"/>
      <c r="BE112" s="465"/>
      <c r="BF112" s="590"/>
      <c r="BG112" s="465"/>
      <c r="BH112" s="465"/>
      <c r="BI112" s="465"/>
      <c r="BJ112" s="465"/>
      <c r="BK112" s="465"/>
      <c r="BL112" s="465"/>
      <c r="BM112" s="465"/>
      <c r="BN112" s="465"/>
      <c r="BO112" s="465"/>
      <c r="BP112" s="465"/>
      <c r="BQ112" s="465"/>
      <c r="BR112" s="465"/>
      <c r="BS112" s="465"/>
      <c r="BT112" s="465"/>
      <c r="BU112" s="465"/>
      <c r="BV112" s="7"/>
      <c r="BW112" s="7"/>
      <c r="BX112" s="456"/>
      <c r="BY112" s="456"/>
      <c r="BZ112" s="456"/>
      <c r="CA112" s="7"/>
      <c r="CB112" s="456"/>
      <c r="CC112" s="465"/>
      <c r="CD112" s="465"/>
      <c r="CE112" s="465"/>
      <c r="CF112" s="7"/>
      <c r="CG112" s="7"/>
      <c r="CH112" s="465"/>
      <c r="CI112" s="7"/>
      <c r="CJ112" s="7"/>
      <c r="CK112" s="465"/>
      <c r="CL112" s="465"/>
      <c r="CM112" s="457"/>
      <c r="CN112" s="457"/>
      <c r="CO112" s="456"/>
      <c r="CP112" s="465"/>
      <c r="CQ112" s="465"/>
      <c r="CR112" s="465"/>
      <c r="CS112" s="465"/>
      <c r="CT112" s="465"/>
      <c r="CU112" s="465"/>
      <c r="CV112" s="465"/>
      <c r="CW112" s="456"/>
      <c r="CX112" s="457"/>
      <c r="CY112" s="456"/>
      <c r="CZ112" s="456"/>
      <c r="DA112" s="465"/>
      <c r="DB112" s="7"/>
      <c r="DC112" s="7"/>
      <c r="DD112" s="465"/>
      <c r="DE112" s="456"/>
      <c r="DF112" s="456"/>
      <c r="DG112" s="465"/>
      <c r="DH112" s="456"/>
      <c r="DI112" s="456"/>
      <c r="DJ112" s="456"/>
      <c r="DK112" s="456"/>
      <c r="DL112" s="456"/>
      <c r="DM112" s="456"/>
      <c r="DN112" s="456"/>
      <c r="DO112" s="456"/>
      <c r="DP112" s="456"/>
      <c r="DQ112" s="456"/>
      <c r="DR112" s="456"/>
      <c r="DS112" s="456"/>
      <c r="DT112" s="456"/>
      <c r="DU112" s="456"/>
      <c r="DV112" s="456"/>
      <c r="DW112" s="456"/>
      <c r="DX112" s="456"/>
      <c r="DY112" s="505" t="s">
        <v>324</v>
      </c>
      <c r="DZ112" s="505"/>
      <c r="EA112" s="505"/>
      <c r="EB112" s="505"/>
      <c r="EC112" s="505"/>
      <c r="ED112" s="505"/>
      <c r="EE112" s="603" t="s">
        <v>325</v>
      </c>
      <c r="EF112" s="603"/>
      <c r="EG112" s="603"/>
      <c r="EH112" s="603"/>
      <c r="EI112" s="603"/>
      <c r="EJ112" s="603"/>
      <c r="EK112" s="601" t="s">
        <v>272</v>
      </c>
      <c r="EL112" s="457"/>
      <c r="EM112" s="457"/>
      <c r="EN112" s="601"/>
      <c r="EO112" s="601"/>
      <c r="EP112" s="601"/>
      <c r="EQ112" s="601"/>
      <c r="ER112" s="602" t="s">
        <v>282</v>
      </c>
      <c r="ES112" s="598" t="s">
        <v>265</v>
      </c>
      <c r="ET112" s="598"/>
      <c r="EU112" s="598"/>
      <c r="EV112" s="598"/>
      <c r="EW112" s="598"/>
      <c r="EX112" s="598"/>
      <c r="EY112" s="596" t="s">
        <v>261</v>
      </c>
      <c r="EZ112" s="596"/>
      <c r="FA112" s="596"/>
      <c r="FB112" s="596"/>
      <c r="FC112" s="596"/>
      <c r="FD112" s="596"/>
      <c r="FE112" s="471" t="s">
        <v>77</v>
      </c>
      <c r="FF112" s="471"/>
      <c r="FG112" s="471"/>
      <c r="FH112" s="471"/>
      <c r="FI112" s="471"/>
      <c r="FJ112" s="471"/>
      <c r="FK112" s="473" t="s">
        <v>66</v>
      </c>
      <c r="FL112" s="473"/>
      <c r="FM112" s="473"/>
      <c r="FN112" s="473"/>
      <c r="FO112" s="473"/>
      <c r="FP112" s="473"/>
      <c r="FQ112" s="592" t="s">
        <v>247</v>
      </c>
      <c r="FR112" s="592"/>
      <c r="FS112" s="592"/>
      <c r="FT112" s="592"/>
      <c r="FU112" s="592"/>
      <c r="FV112" s="592"/>
      <c r="FW112" s="591" t="s">
        <v>242</v>
      </c>
      <c r="FX112" s="591"/>
      <c r="FY112" s="591"/>
      <c r="FZ112" s="591"/>
      <c r="GA112" s="591"/>
      <c r="GB112" s="591"/>
      <c r="GC112" s="3" t="s">
        <v>238</v>
      </c>
      <c r="GD112" s="3" t="s">
        <v>243</v>
      </c>
      <c r="GE112" s="456"/>
      <c r="GF112" s="456"/>
      <c r="GG112" s="456"/>
      <c r="GH112" s="456"/>
      <c r="GI112" s="456"/>
      <c r="GJ112" s="457"/>
      <c r="GK112" s="457"/>
      <c r="GL112" s="456"/>
      <c r="GM112" s="456"/>
      <c r="GN112" s="456"/>
      <c r="GO112" s="456"/>
      <c r="GP112" s="456"/>
      <c r="GQ112" s="456"/>
      <c r="GR112" s="456"/>
      <c r="GS112" s="456"/>
      <c r="GT112" s="456"/>
      <c r="GU112" s="456"/>
      <c r="GV112" s="456"/>
      <c r="GW112" s="456"/>
      <c r="GX112" s="456"/>
      <c r="GY112" s="456"/>
      <c r="GZ112" s="456"/>
      <c r="HA112" s="456"/>
      <c r="HB112" s="456"/>
      <c r="HC112" s="456"/>
      <c r="HD112" s="456"/>
      <c r="HE112" s="456"/>
      <c r="HF112" s="456"/>
      <c r="HG112" s="456"/>
      <c r="HH112" s="456"/>
      <c r="HI112" s="456"/>
      <c r="HJ112" s="456"/>
      <c r="HK112" s="456"/>
      <c r="HL112" s="456"/>
      <c r="HM112" s="456"/>
      <c r="HN112" s="456"/>
      <c r="HO112" s="456"/>
      <c r="HP112" s="465"/>
      <c r="HQ112" s="456"/>
      <c r="HR112" s="456"/>
      <c r="HS112" s="456"/>
      <c r="HT112" s="456"/>
      <c r="HU112" s="456"/>
      <c r="HV112" s="456"/>
      <c r="HW112" s="456"/>
      <c r="HX112" s="456"/>
      <c r="HY112" s="456"/>
      <c r="HZ112" s="456"/>
      <c r="IA112" s="456"/>
      <c r="IB112" s="456"/>
      <c r="IC112" s="456"/>
      <c r="ID112" s="456"/>
      <c r="IE112" s="456"/>
      <c r="IF112" s="456"/>
      <c r="IG112" s="456"/>
      <c r="IH112" s="456"/>
      <c r="II112" s="456"/>
      <c r="IJ112" s="456"/>
      <c r="IK112" s="456"/>
      <c r="IL112" s="456"/>
      <c r="IM112" s="456"/>
      <c r="IN112" s="457"/>
      <c r="IO112" s="457"/>
      <c r="IP112" s="456"/>
      <c r="IQ112" s="456"/>
      <c r="IR112" s="456"/>
      <c r="IS112" s="456"/>
      <c r="IT112" s="456"/>
      <c r="IU112" s="456"/>
      <c r="IV112" s="456"/>
      <c r="IW112" s="456"/>
      <c r="IX112" s="456"/>
      <c r="IY112" s="456"/>
      <c r="IZ112" s="456"/>
      <c r="JA112" s="456"/>
      <c r="JB112" s="456"/>
      <c r="JC112" s="456"/>
      <c r="JD112" s="456"/>
      <c r="JE112" s="456"/>
      <c r="JF112" s="456"/>
      <c r="JG112" s="456"/>
      <c r="JH112" s="456"/>
      <c r="JI112" s="456"/>
      <c r="JJ112" s="456"/>
      <c r="JK112" s="456"/>
      <c r="JL112" s="456"/>
      <c r="JM112" s="456"/>
      <c r="JN112" s="456"/>
      <c r="JO112" s="456"/>
      <c r="JP112" s="456"/>
      <c r="JQ112" s="456"/>
      <c r="JR112" s="456"/>
      <c r="JS112" s="456"/>
      <c r="JT112" s="456"/>
      <c r="JU112" s="456"/>
      <c r="JV112" s="456"/>
      <c r="JW112" s="456"/>
      <c r="JX112" s="456"/>
      <c r="JY112" s="456"/>
      <c r="JZ112" s="456"/>
      <c r="KA112" s="456"/>
      <c r="KB112" s="456"/>
      <c r="KC112" s="456"/>
      <c r="KD112" s="456"/>
      <c r="KE112" s="456"/>
      <c r="KF112" s="456"/>
    </row>
    <row r="113" spans="1:292" ht="70" hidden="1" customHeight="1">
      <c r="A113" s="170" t="s">
        <v>384</v>
      </c>
      <c r="B113" s="334">
        <v>55</v>
      </c>
      <c r="C113" s="334"/>
      <c r="D113" s="334"/>
      <c r="E113" s="334"/>
      <c r="F113" s="331" t="s">
        <v>369</v>
      </c>
      <c r="G113" s="78" t="s">
        <v>234</v>
      </c>
      <c r="H113" s="78"/>
      <c r="I113" s="104" t="s">
        <v>162</v>
      </c>
      <c r="J113" s="156" t="s">
        <v>334</v>
      </c>
      <c r="K113" s="245"/>
      <c r="L113" s="41" t="s">
        <v>55</v>
      </c>
      <c r="M113" s="33"/>
      <c r="N113" s="42"/>
      <c r="O113" s="33"/>
      <c r="P113" s="628">
        <f t="shared" si="35"/>
        <v>46375</v>
      </c>
      <c r="Q113" s="628">
        <f t="shared" si="33"/>
        <v>46417</v>
      </c>
      <c r="R113" s="628">
        <f t="shared" si="33"/>
        <v>46634</v>
      </c>
      <c r="S113" s="87"/>
      <c r="T113" s="585">
        <f t="shared" si="34"/>
        <v>46774</v>
      </c>
      <c r="U113" s="364"/>
      <c r="V113" s="271"/>
      <c r="W113" s="452" t="s">
        <v>237</v>
      </c>
      <c r="X113" s="465"/>
      <c r="Y113" s="465"/>
      <c r="Z113" s="465"/>
      <c r="AA113" s="465"/>
      <c r="AB113" s="465"/>
      <c r="AC113" s="465"/>
      <c r="AD113" s="465"/>
      <c r="AE113" s="465"/>
      <c r="AF113" s="465"/>
      <c r="AG113" s="340"/>
      <c r="AH113" s="465"/>
      <c r="AI113" s="465"/>
      <c r="AJ113" s="457"/>
      <c r="AK113" s="457"/>
      <c r="AL113" s="465"/>
      <c r="AM113" s="465"/>
      <c r="AN113" s="465"/>
      <c r="AO113" s="465"/>
      <c r="AP113" s="465"/>
      <c r="AQ113" s="465"/>
      <c r="AR113" s="465"/>
      <c r="AS113" s="7"/>
      <c r="AT113" s="7"/>
      <c r="AU113" s="456"/>
      <c r="AV113" s="340"/>
      <c r="AW113" s="465"/>
      <c r="AX113" s="456"/>
      <c r="AY113" s="465"/>
      <c r="AZ113" s="465"/>
      <c r="BA113" s="465"/>
      <c r="BB113" s="465"/>
      <c r="BC113" s="465"/>
      <c r="BD113" s="465"/>
      <c r="BE113" s="465"/>
      <c r="BF113" s="590"/>
      <c r="BG113" s="465"/>
      <c r="BH113" s="465"/>
      <c r="BI113" s="465"/>
      <c r="BJ113" s="465"/>
      <c r="BK113" s="465"/>
      <c r="BL113" s="465"/>
      <c r="BM113" s="465"/>
      <c r="BN113" s="465"/>
      <c r="BO113" s="465"/>
      <c r="BP113" s="465"/>
      <c r="BQ113" s="465"/>
      <c r="BR113" s="465"/>
      <c r="BS113" s="465"/>
      <c r="BT113" s="465"/>
      <c r="BU113" s="465"/>
      <c r="BV113" s="7"/>
      <c r="BW113" s="7"/>
      <c r="BX113" s="456"/>
      <c r="BY113" s="456"/>
      <c r="BZ113" s="456"/>
      <c r="CA113" s="7"/>
      <c r="CB113" s="456"/>
      <c r="CC113" s="465"/>
      <c r="CD113" s="465"/>
      <c r="CE113" s="465"/>
      <c r="CF113" s="7"/>
      <c r="CG113" s="7"/>
      <c r="CH113" s="465"/>
      <c r="CI113" s="7"/>
      <c r="CJ113" s="7"/>
      <c r="CK113" s="465"/>
      <c r="CL113" s="465"/>
      <c r="CM113" s="457"/>
      <c r="CN113" s="457"/>
      <c r="CO113" s="456"/>
      <c r="CP113" s="465"/>
      <c r="CQ113" s="465"/>
      <c r="CR113" s="465"/>
      <c r="CS113" s="7"/>
      <c r="CT113" s="465"/>
      <c r="CU113" s="465"/>
      <c r="CV113" s="465"/>
      <c r="CW113" s="456"/>
      <c r="CX113" s="456"/>
      <c r="CY113" s="456"/>
      <c r="CZ113" s="465"/>
      <c r="DA113" s="465"/>
      <c r="DB113" s="590"/>
      <c r="DC113" s="465"/>
      <c r="DD113" s="456"/>
      <c r="DE113" s="456"/>
      <c r="DF113" s="465"/>
      <c r="DG113" s="465"/>
      <c r="DH113" s="465"/>
      <c r="DI113" s="456"/>
      <c r="DJ113" s="456"/>
      <c r="DK113" s="456"/>
      <c r="DL113" s="456"/>
      <c r="DM113" s="456"/>
      <c r="DN113" s="456"/>
      <c r="DO113" s="456"/>
      <c r="DP113" s="456"/>
      <c r="DQ113" s="456"/>
      <c r="DR113" s="456"/>
      <c r="DS113" s="456"/>
      <c r="DT113" s="456"/>
      <c r="DU113" s="549"/>
      <c r="DV113" s="456"/>
      <c r="DW113" s="456"/>
      <c r="DX113" s="456"/>
      <c r="DY113" s="456"/>
      <c r="DZ113" s="456"/>
      <c r="EA113" s="456"/>
      <c r="EB113" s="456"/>
      <c r="EC113" s="456"/>
      <c r="ED113" s="505" t="s">
        <v>324</v>
      </c>
      <c r="EE113" s="505"/>
      <c r="EF113" s="505"/>
      <c r="EG113" s="505"/>
      <c r="EH113" s="505"/>
      <c r="EI113" s="505"/>
      <c r="EJ113" s="603" t="s">
        <v>325</v>
      </c>
      <c r="EK113" s="603"/>
      <c r="EL113" s="603"/>
      <c r="EM113" s="457"/>
      <c r="EN113" s="457"/>
      <c r="EO113" s="603"/>
      <c r="EP113" s="603"/>
      <c r="EQ113" s="603"/>
      <c r="ER113" s="601" t="s">
        <v>272</v>
      </c>
      <c r="ES113" s="601"/>
      <c r="ET113" s="601"/>
      <c r="EU113" s="601"/>
      <c r="EV113" s="601"/>
      <c r="EW113" s="602" t="s">
        <v>282</v>
      </c>
      <c r="EX113" s="598" t="s">
        <v>265</v>
      </c>
      <c r="EY113" s="598"/>
      <c r="EZ113" s="598"/>
      <c r="FA113" s="598"/>
      <c r="FB113" s="598"/>
      <c r="FC113" s="598"/>
      <c r="FD113" s="596" t="s">
        <v>261</v>
      </c>
      <c r="FE113" s="596"/>
      <c r="FF113" s="596"/>
      <c r="FG113" s="596"/>
      <c r="FH113" s="596"/>
      <c r="FI113" s="596"/>
      <c r="FJ113" s="471" t="s">
        <v>77</v>
      </c>
      <c r="FK113" s="471"/>
      <c r="FL113" s="471"/>
      <c r="FM113" s="471"/>
      <c r="FN113" s="471"/>
      <c r="FO113" s="471"/>
      <c r="FP113" s="473" t="s">
        <v>66</v>
      </c>
      <c r="FQ113" s="473"/>
      <c r="FR113" s="473"/>
      <c r="FS113" s="473"/>
      <c r="FT113" s="473"/>
      <c r="FU113" s="473"/>
      <c r="FV113" s="592" t="s">
        <v>247</v>
      </c>
      <c r="FW113" s="592"/>
      <c r="FX113" s="592"/>
      <c r="FY113" s="592"/>
      <c r="FZ113" s="592"/>
      <c r="GA113" s="591" t="s">
        <v>242</v>
      </c>
      <c r="GB113" s="591"/>
      <c r="GC113" s="591"/>
      <c r="GD113" s="591"/>
      <c r="GE113" s="591"/>
      <c r="GF113" s="591"/>
      <c r="GG113" s="3" t="s">
        <v>238</v>
      </c>
      <c r="GH113" s="3" t="s">
        <v>243</v>
      </c>
      <c r="GI113" s="456"/>
      <c r="GJ113" s="457"/>
      <c r="GK113" s="457"/>
      <c r="GL113" s="456"/>
      <c r="GO113" s="456"/>
      <c r="GP113" s="456"/>
      <c r="GQ113" s="456"/>
      <c r="GR113" s="456"/>
      <c r="GS113" s="456"/>
      <c r="GT113" s="456"/>
      <c r="GU113" s="456"/>
      <c r="GV113" s="456"/>
      <c r="GW113" s="456"/>
      <c r="GX113" s="456"/>
      <c r="GY113" s="456"/>
      <c r="GZ113" s="456"/>
      <c r="HA113" s="456"/>
      <c r="HB113" s="456"/>
      <c r="HC113" s="456"/>
      <c r="HD113" s="456"/>
      <c r="HE113" s="456"/>
      <c r="HF113" s="456"/>
      <c r="HG113" s="456"/>
      <c r="HH113" s="456"/>
      <c r="HI113" s="456"/>
      <c r="HJ113" s="456"/>
      <c r="HK113" s="456"/>
      <c r="HL113" s="456"/>
      <c r="HM113" s="456"/>
      <c r="HN113" s="456"/>
      <c r="HO113" s="456"/>
      <c r="HP113" s="465"/>
      <c r="HQ113" s="456"/>
      <c r="HR113" s="456"/>
      <c r="HS113" s="456"/>
      <c r="HT113" s="456"/>
      <c r="HU113" s="456"/>
      <c r="HV113" s="456"/>
      <c r="HW113" s="456"/>
      <c r="HX113" s="456"/>
      <c r="HY113" s="456"/>
      <c r="HZ113" s="456"/>
      <c r="IA113" s="456"/>
      <c r="IB113" s="456"/>
      <c r="IC113" s="456"/>
      <c r="ID113" s="456"/>
      <c r="IE113" s="456"/>
      <c r="IF113" s="456"/>
      <c r="IG113" s="456"/>
      <c r="IH113" s="456"/>
      <c r="II113" s="456"/>
      <c r="IJ113" s="456"/>
      <c r="IK113" s="456"/>
      <c r="IL113" s="456"/>
      <c r="IM113" s="456"/>
      <c r="IN113" s="457"/>
      <c r="IO113" s="457"/>
      <c r="IP113" s="456"/>
      <c r="IQ113" s="456"/>
      <c r="IR113" s="456"/>
      <c r="IS113" s="456"/>
      <c r="IT113" s="456"/>
      <c r="IU113" s="456"/>
      <c r="IV113" s="456"/>
      <c r="IW113" s="456"/>
      <c r="IX113" s="456"/>
      <c r="IY113" s="456"/>
      <c r="IZ113" s="456"/>
      <c r="JA113" s="456"/>
      <c r="JB113" s="456"/>
      <c r="JC113" s="456"/>
      <c r="JD113" s="456"/>
      <c r="JE113" s="456"/>
      <c r="JF113" s="456"/>
      <c r="JG113" s="456"/>
      <c r="JH113" s="456"/>
      <c r="JI113" s="456"/>
      <c r="JJ113" s="456"/>
      <c r="JK113" s="456"/>
      <c r="JL113" s="456"/>
      <c r="JM113" s="456"/>
      <c r="JN113" s="456"/>
      <c r="JO113" s="456"/>
      <c r="JP113" s="456"/>
      <c r="JQ113" s="456"/>
      <c r="JR113" s="456"/>
      <c r="JS113" s="456"/>
      <c r="JT113" s="456"/>
      <c r="JU113" s="456"/>
      <c r="JV113" s="456"/>
      <c r="JW113" s="456"/>
      <c r="JX113" s="456"/>
      <c r="JY113" s="456"/>
      <c r="JZ113" s="456"/>
      <c r="KA113" s="456"/>
      <c r="KB113" s="456"/>
      <c r="KC113" s="456"/>
      <c r="KD113" s="456"/>
      <c r="KE113" s="456"/>
      <c r="KF113" s="456"/>
    </row>
    <row r="114" spans="1:292" ht="70" hidden="1" customHeight="1">
      <c r="A114" s="170" t="s">
        <v>385</v>
      </c>
      <c r="B114" s="334">
        <v>56</v>
      </c>
      <c r="C114" s="334"/>
      <c r="D114" s="334"/>
      <c r="E114" s="334"/>
      <c r="F114" s="331" t="s">
        <v>369</v>
      </c>
      <c r="G114" s="78" t="s">
        <v>234</v>
      </c>
      <c r="H114" s="78"/>
      <c r="I114" s="104" t="s">
        <v>162</v>
      </c>
      <c r="J114" s="156" t="s">
        <v>334</v>
      </c>
      <c r="K114" s="245"/>
      <c r="L114" s="41" t="s">
        <v>55</v>
      </c>
      <c r="M114" s="33"/>
      <c r="N114" s="42"/>
      <c r="O114" s="33"/>
      <c r="P114" s="628">
        <f t="shared" si="35"/>
        <v>46417</v>
      </c>
      <c r="Q114" s="628">
        <v>46467</v>
      </c>
      <c r="R114" s="628">
        <f t="shared" si="33"/>
        <v>46676</v>
      </c>
      <c r="S114" s="87"/>
      <c r="T114" s="585">
        <v>46819</v>
      </c>
      <c r="U114" s="364"/>
      <c r="V114" s="271"/>
      <c r="W114" s="452" t="s">
        <v>237</v>
      </c>
      <c r="X114" s="465"/>
      <c r="Y114" s="465"/>
      <c r="Z114" s="465"/>
      <c r="AA114" s="465"/>
      <c r="AB114" s="465"/>
      <c r="AC114" s="465"/>
      <c r="AD114" s="465"/>
      <c r="AE114" s="465"/>
      <c r="AF114" s="465"/>
      <c r="AG114" s="340"/>
      <c r="AH114" s="465"/>
      <c r="AI114" s="465"/>
      <c r="AJ114" s="457"/>
      <c r="AK114" s="457"/>
      <c r="AL114" s="465"/>
      <c r="AM114" s="465"/>
      <c r="AN114" s="465"/>
      <c r="AO114" s="465"/>
      <c r="AP114" s="465"/>
      <c r="AQ114" s="465"/>
      <c r="AR114" s="465"/>
      <c r="AS114" s="7"/>
      <c r="AT114" s="7"/>
      <c r="AU114" s="456"/>
      <c r="AV114" s="340"/>
      <c r="AW114" s="465"/>
      <c r="AX114" s="456"/>
      <c r="AY114" s="465"/>
      <c r="AZ114" s="465"/>
      <c r="BA114" s="465"/>
      <c r="BB114" s="465"/>
      <c r="BC114" s="465"/>
      <c r="BD114" s="465"/>
      <c r="BE114" s="465"/>
      <c r="BF114" s="590"/>
      <c r="BG114" s="465"/>
      <c r="BH114" s="465"/>
      <c r="BI114" s="465"/>
      <c r="BJ114" s="465"/>
      <c r="BK114" s="465"/>
      <c r="BL114" s="465"/>
      <c r="BM114" s="465"/>
      <c r="BN114" s="465"/>
      <c r="BO114" s="465"/>
      <c r="BP114" s="465"/>
      <c r="BQ114" s="465"/>
      <c r="BR114" s="465"/>
      <c r="BS114" s="465"/>
      <c r="BT114" s="465"/>
      <c r="BU114" s="465"/>
      <c r="BV114" s="7"/>
      <c r="BW114" s="7"/>
      <c r="BX114" s="456"/>
      <c r="BY114" s="456"/>
      <c r="BZ114" s="456"/>
      <c r="CA114" s="7"/>
      <c r="CB114" s="456"/>
      <c r="CC114" s="465"/>
      <c r="CD114" s="465"/>
      <c r="CE114" s="465"/>
      <c r="CF114" s="7"/>
      <c r="CG114" s="7"/>
      <c r="CH114" s="465"/>
      <c r="CI114" s="7"/>
      <c r="CJ114" s="7"/>
      <c r="CK114" s="465"/>
      <c r="CL114" s="465"/>
      <c r="CM114" s="457"/>
      <c r="CN114" s="457"/>
      <c r="CO114" s="456"/>
      <c r="CP114" s="465"/>
      <c r="CQ114" s="465"/>
      <c r="CR114" s="465"/>
      <c r="CS114" s="7"/>
      <c r="CT114" s="465"/>
      <c r="CU114" s="465"/>
      <c r="CV114" s="465"/>
      <c r="CW114" s="456"/>
      <c r="CX114" s="456"/>
      <c r="CY114" s="456"/>
      <c r="CZ114" s="465"/>
      <c r="DA114" s="465"/>
      <c r="DB114" s="590"/>
      <c r="DC114" s="465"/>
      <c r="DD114" s="456"/>
      <c r="DE114" s="456"/>
      <c r="DF114" s="465"/>
      <c r="DG114" s="465"/>
      <c r="DH114" s="7"/>
      <c r="DI114" s="456"/>
      <c r="DJ114" s="456"/>
      <c r="DK114" s="456"/>
      <c r="DL114" s="7"/>
      <c r="DM114" s="465"/>
      <c r="DN114" s="465"/>
      <c r="DO114" s="456"/>
      <c r="DP114" s="456"/>
      <c r="DQ114" s="456"/>
      <c r="DR114" s="456"/>
      <c r="DS114" s="456"/>
      <c r="DT114" s="456"/>
      <c r="DU114" s="456"/>
      <c r="DV114" s="456"/>
      <c r="DW114" s="456"/>
      <c r="DX114" s="456"/>
      <c r="DY114" s="456"/>
      <c r="DZ114" s="456"/>
      <c r="EA114" s="456"/>
      <c r="EB114" s="456"/>
      <c r="EC114" s="456"/>
      <c r="ED114" s="456"/>
      <c r="EE114" s="456"/>
      <c r="EF114" s="456"/>
      <c r="EG114" s="456"/>
      <c r="EH114" s="456"/>
      <c r="EI114" s="456"/>
      <c r="EJ114" s="505" t="s">
        <v>324</v>
      </c>
      <c r="EK114" s="505"/>
      <c r="EL114" s="505"/>
      <c r="EM114" s="457"/>
      <c r="EN114" s="457"/>
      <c r="EO114" s="505"/>
      <c r="EP114" s="505"/>
      <c r="EQ114" s="505"/>
      <c r="ER114" s="603" t="s">
        <v>325</v>
      </c>
      <c r="ES114" s="603"/>
      <c r="ET114" s="603"/>
      <c r="EU114" s="603"/>
      <c r="EV114" s="603"/>
      <c r="EW114" s="603"/>
      <c r="EX114" s="601" t="s">
        <v>272</v>
      </c>
      <c r="EY114" s="601"/>
      <c r="EZ114" s="601"/>
      <c r="FA114" s="601"/>
      <c r="FB114" s="601"/>
      <c r="FC114" s="602" t="s">
        <v>282</v>
      </c>
      <c r="FD114" s="598" t="s">
        <v>265</v>
      </c>
      <c r="FE114" s="598"/>
      <c r="FF114" s="598"/>
      <c r="FG114" s="598"/>
      <c r="FH114" s="598"/>
      <c r="FI114" s="598"/>
      <c r="FJ114" s="596" t="s">
        <v>261</v>
      </c>
      <c r="FK114" s="596"/>
      <c r="FL114" s="596"/>
      <c r="FM114" s="596"/>
      <c r="FN114" s="596"/>
      <c r="FO114" s="596"/>
      <c r="FP114" s="471" t="s">
        <v>77</v>
      </c>
      <c r="FQ114" s="471"/>
      <c r="FR114" s="471"/>
      <c r="FS114" s="471"/>
      <c r="FT114" s="471"/>
      <c r="FU114" s="471"/>
      <c r="FV114" s="473" t="s">
        <v>66</v>
      </c>
      <c r="FW114" s="473"/>
      <c r="FX114" s="473"/>
      <c r="FY114" s="473"/>
      <c r="FZ114" s="473"/>
      <c r="GA114" s="592" t="s">
        <v>247</v>
      </c>
      <c r="GB114" s="592"/>
      <c r="GC114" s="592"/>
      <c r="GD114" s="592"/>
      <c r="GE114" s="592"/>
      <c r="GF114" s="592"/>
      <c r="GG114" s="591" t="s">
        <v>242</v>
      </c>
      <c r="GH114" s="591"/>
      <c r="GI114" s="591"/>
      <c r="GJ114" s="457"/>
      <c r="GK114" s="457"/>
      <c r="GL114" s="591"/>
      <c r="GO114" s="3" t="s">
        <v>238</v>
      </c>
      <c r="GP114" s="3" t="s">
        <v>243</v>
      </c>
      <c r="GQ114" s="456"/>
      <c r="GR114" s="456"/>
      <c r="GS114" s="456"/>
      <c r="GT114" s="456"/>
      <c r="GU114" s="456"/>
      <c r="GV114" s="456"/>
      <c r="GW114" s="456"/>
      <c r="GX114" s="456"/>
      <c r="GY114" s="456"/>
      <c r="GZ114" s="456"/>
      <c r="HA114" s="456"/>
      <c r="HB114" s="456"/>
      <c r="HC114" s="456"/>
      <c r="HD114" s="456"/>
      <c r="HE114" s="456"/>
      <c r="HF114" s="456"/>
      <c r="HG114" s="456"/>
      <c r="HH114" s="456"/>
      <c r="HI114" s="456"/>
      <c r="HJ114" s="456"/>
      <c r="HK114" s="456"/>
      <c r="HL114" s="456"/>
      <c r="HM114" s="456"/>
      <c r="HN114" s="456"/>
      <c r="HO114" s="456"/>
      <c r="HP114" s="465"/>
      <c r="HQ114" s="456"/>
      <c r="HR114" s="456"/>
      <c r="HS114" s="456"/>
      <c r="HT114" s="456"/>
      <c r="HU114" s="456"/>
      <c r="HV114" s="456"/>
      <c r="HW114" s="456"/>
      <c r="HX114" s="456"/>
      <c r="HY114" s="456"/>
      <c r="HZ114" s="456"/>
      <c r="IA114" s="456"/>
      <c r="IB114" s="456"/>
      <c r="IC114" s="456"/>
      <c r="ID114" s="456"/>
      <c r="IE114" s="456"/>
      <c r="IF114" s="456"/>
      <c r="IG114" s="456"/>
      <c r="IH114" s="456"/>
      <c r="II114" s="456"/>
      <c r="IJ114" s="456"/>
      <c r="IK114" s="456"/>
      <c r="IL114" s="456"/>
      <c r="IM114" s="456"/>
      <c r="IN114" s="457"/>
      <c r="IO114" s="457"/>
      <c r="IP114" s="456"/>
      <c r="IQ114" s="456"/>
      <c r="IR114" s="456"/>
      <c r="IS114" s="456"/>
      <c r="IT114" s="456"/>
      <c r="IU114" s="456"/>
      <c r="IV114" s="456"/>
      <c r="IW114" s="456"/>
      <c r="IX114" s="456"/>
      <c r="IY114" s="456"/>
      <c r="IZ114" s="456"/>
      <c r="JA114" s="456"/>
      <c r="JB114" s="456"/>
      <c r="JC114" s="456"/>
      <c r="JD114" s="456"/>
      <c r="JE114" s="456"/>
      <c r="JF114" s="456"/>
      <c r="JG114" s="456"/>
      <c r="JH114" s="456"/>
      <c r="JI114" s="456"/>
      <c r="JJ114" s="456"/>
      <c r="JK114" s="456"/>
      <c r="JL114" s="456"/>
      <c r="JM114" s="456"/>
      <c r="JN114" s="456"/>
      <c r="JO114" s="456"/>
      <c r="JP114" s="456"/>
      <c r="JQ114" s="456"/>
      <c r="JR114" s="456"/>
      <c r="JS114" s="456"/>
      <c r="JT114" s="456"/>
      <c r="JU114" s="456"/>
      <c r="JV114" s="456"/>
      <c r="JW114" s="456"/>
      <c r="JX114" s="456"/>
      <c r="JY114" s="456"/>
      <c r="JZ114" s="456"/>
      <c r="KA114" s="456"/>
      <c r="KB114" s="456"/>
      <c r="KC114" s="456"/>
      <c r="KD114" s="456"/>
      <c r="KE114" s="456"/>
      <c r="KF114" s="456"/>
    </row>
    <row r="115" spans="1:292" ht="70" hidden="1" customHeight="1">
      <c r="A115" s="170" t="s">
        <v>387</v>
      </c>
      <c r="B115" s="334">
        <v>57</v>
      </c>
      <c r="C115" s="334"/>
      <c r="D115" s="334"/>
      <c r="E115" s="334"/>
      <c r="F115" s="331" t="s">
        <v>369</v>
      </c>
      <c r="G115" s="78" t="s">
        <v>234</v>
      </c>
      <c r="H115" s="78"/>
      <c r="I115" s="104" t="s">
        <v>162</v>
      </c>
      <c r="J115" s="156" t="s">
        <v>334</v>
      </c>
      <c r="K115" s="244"/>
      <c r="L115" s="41" t="s">
        <v>55</v>
      </c>
      <c r="M115" s="33"/>
      <c r="N115" s="42"/>
      <c r="O115" s="33"/>
      <c r="P115" s="628">
        <v>46467</v>
      </c>
      <c r="Q115" s="628">
        <f>Q114+42</f>
        <v>46509</v>
      </c>
      <c r="R115" s="628">
        <f t="shared" si="33"/>
        <v>46718</v>
      </c>
      <c r="S115" s="87"/>
      <c r="T115" s="585">
        <f>T114+42</f>
        <v>46861</v>
      </c>
      <c r="U115" s="364"/>
      <c r="V115" s="271"/>
      <c r="W115" s="452" t="s">
        <v>237</v>
      </c>
      <c r="X115" s="465"/>
      <c r="Y115" s="465"/>
      <c r="Z115" s="465"/>
      <c r="AA115" s="465"/>
      <c r="AB115" s="465"/>
      <c r="AC115" s="465"/>
      <c r="AD115" s="465"/>
      <c r="AE115" s="465"/>
      <c r="AF115" s="465"/>
      <c r="AG115" s="340"/>
      <c r="AH115" s="465"/>
      <c r="AI115" s="465"/>
      <c r="AJ115" s="457"/>
      <c r="AK115" s="457"/>
      <c r="AL115" s="465"/>
      <c r="AM115" s="465"/>
      <c r="AN115" s="465"/>
      <c r="AO115" s="465"/>
      <c r="AP115" s="465"/>
      <c r="AQ115" s="465"/>
      <c r="AR115" s="465"/>
      <c r="AS115" s="7"/>
      <c r="AT115" s="7"/>
      <c r="AU115" s="456"/>
      <c r="AV115" s="340"/>
      <c r="AW115" s="465"/>
      <c r="AX115" s="456"/>
      <c r="AY115" s="465"/>
      <c r="AZ115" s="465"/>
      <c r="BA115" s="465"/>
      <c r="BB115" s="465"/>
      <c r="BC115" s="465"/>
      <c r="BD115" s="465"/>
      <c r="BE115" s="465"/>
      <c r="BF115" s="590"/>
      <c r="BG115" s="465"/>
      <c r="BH115" s="465"/>
      <c r="BI115" s="465"/>
      <c r="BJ115" s="465"/>
      <c r="BK115" s="465"/>
      <c r="BL115" s="465"/>
      <c r="BM115" s="465"/>
      <c r="BN115" s="465"/>
      <c r="BO115" s="465"/>
      <c r="BP115" s="465"/>
      <c r="BQ115" s="465"/>
      <c r="BR115" s="465"/>
      <c r="BS115" s="465"/>
      <c r="BT115" s="465"/>
      <c r="BU115" s="465"/>
      <c r="BV115" s="7"/>
      <c r="BW115" s="7"/>
      <c r="BX115" s="456"/>
      <c r="BY115" s="456"/>
      <c r="BZ115" s="456"/>
      <c r="CA115" s="7"/>
      <c r="CB115" s="465"/>
      <c r="CC115" s="465"/>
      <c r="CD115" s="465"/>
      <c r="CE115" s="465"/>
      <c r="CF115" s="7"/>
      <c r="CG115" s="7"/>
      <c r="CH115" s="465"/>
      <c r="CI115" s="7"/>
      <c r="CJ115" s="7"/>
      <c r="CK115" s="465"/>
      <c r="CL115" s="465"/>
      <c r="CM115" s="457"/>
      <c r="CN115" s="457"/>
      <c r="CO115" s="456"/>
      <c r="CP115" s="465"/>
      <c r="CQ115" s="465"/>
      <c r="CR115" s="465"/>
      <c r="CS115" s="7"/>
      <c r="CT115" s="465"/>
      <c r="CU115" s="465"/>
      <c r="CV115" s="465"/>
      <c r="CW115" s="456"/>
      <c r="CX115" s="456"/>
      <c r="CY115" s="456"/>
      <c r="CZ115" s="465"/>
      <c r="DA115" s="465"/>
      <c r="DB115" s="590"/>
      <c r="DC115" s="465"/>
      <c r="DD115" s="456"/>
      <c r="DE115" s="456"/>
      <c r="DF115" s="465"/>
      <c r="DG115" s="465"/>
      <c r="DH115" s="465"/>
      <c r="DI115" s="456"/>
      <c r="DJ115" s="456"/>
      <c r="DK115" s="456"/>
      <c r="DL115" s="465"/>
      <c r="DM115" s="465"/>
      <c r="DN115" s="465"/>
      <c r="DO115" s="465"/>
      <c r="DP115" s="456"/>
      <c r="DQ115" s="456"/>
      <c r="DR115" s="465"/>
      <c r="DS115" s="456"/>
      <c r="DT115" s="456"/>
      <c r="DU115" s="456"/>
      <c r="DV115" s="456"/>
      <c r="DW115" s="456"/>
      <c r="DX115" s="456"/>
      <c r="DY115" s="456"/>
      <c r="DZ115" s="456"/>
      <c r="EA115" s="456"/>
      <c r="EB115" s="456"/>
      <c r="EC115" s="456"/>
      <c r="ED115" s="456"/>
      <c r="EE115" s="456"/>
      <c r="EF115" s="549"/>
      <c r="EG115" s="456"/>
      <c r="EH115" s="456"/>
      <c r="EI115" s="456"/>
      <c r="EJ115" s="456"/>
      <c r="EK115" s="456"/>
      <c r="EL115" s="456"/>
      <c r="EM115" s="457"/>
      <c r="EN115" s="457"/>
      <c r="EO115" s="456"/>
      <c r="EP115" s="456"/>
      <c r="EQ115" s="456"/>
      <c r="ER115" s="505" t="s">
        <v>324</v>
      </c>
      <c r="ES115" s="505"/>
      <c r="ET115" s="505"/>
      <c r="EU115" s="505"/>
      <c r="EV115" s="505"/>
      <c r="EW115" s="505"/>
      <c r="EX115" s="603" t="s">
        <v>325</v>
      </c>
      <c r="EY115" s="603"/>
      <c r="EZ115" s="603"/>
      <c r="FA115" s="603"/>
      <c r="FB115" s="603"/>
      <c r="FC115" s="603"/>
      <c r="FD115" s="601" t="s">
        <v>272</v>
      </c>
      <c r="FE115" s="601"/>
      <c r="FF115" s="601"/>
      <c r="FG115" s="601"/>
      <c r="FH115" s="601"/>
      <c r="FI115" s="602" t="s">
        <v>282</v>
      </c>
      <c r="FJ115" s="598" t="s">
        <v>265</v>
      </c>
      <c r="FK115" s="598"/>
      <c r="FL115" s="598"/>
      <c r="FM115" s="598"/>
      <c r="FN115" s="598"/>
      <c r="FO115" s="598"/>
      <c r="FP115" s="596" t="s">
        <v>261</v>
      </c>
      <c r="FQ115" s="596"/>
      <c r="FR115" s="596"/>
      <c r="FS115" s="596"/>
      <c r="FT115" s="596"/>
      <c r="FU115" s="596"/>
      <c r="FV115" s="471" t="s">
        <v>77</v>
      </c>
      <c r="FW115" s="471"/>
      <c r="FX115" s="471"/>
      <c r="FY115" s="471"/>
      <c r="FZ115" s="471"/>
      <c r="GA115" s="473" t="s">
        <v>66</v>
      </c>
      <c r="GB115" s="473"/>
      <c r="GC115" s="473"/>
      <c r="GD115" s="473"/>
      <c r="GE115" s="473"/>
      <c r="GF115" s="473"/>
      <c r="GG115" s="592" t="s">
        <v>247</v>
      </c>
      <c r="GH115" s="592"/>
      <c r="GI115" s="592"/>
      <c r="GJ115" s="457"/>
      <c r="GK115" s="457"/>
      <c r="GL115" s="592"/>
      <c r="GO115" s="591" t="s">
        <v>242</v>
      </c>
      <c r="GP115" s="591"/>
      <c r="GQ115" s="591"/>
      <c r="GR115" s="591"/>
      <c r="GS115" s="591"/>
      <c r="GT115" s="591"/>
      <c r="GU115" s="3" t="s">
        <v>238</v>
      </c>
      <c r="GV115" s="3" t="s">
        <v>243</v>
      </c>
      <c r="GW115" s="456"/>
      <c r="GX115" s="456"/>
      <c r="GY115" s="456"/>
      <c r="GZ115" s="456"/>
      <c r="HA115" s="456"/>
      <c r="HB115" s="456"/>
      <c r="HC115" s="456"/>
      <c r="HD115" s="456"/>
      <c r="HE115" s="456"/>
      <c r="HF115" s="456"/>
      <c r="HG115" s="456"/>
      <c r="HH115" s="456"/>
      <c r="HI115" s="456"/>
      <c r="HJ115" s="456"/>
      <c r="HK115" s="456"/>
      <c r="HL115" s="456"/>
      <c r="HM115" s="456"/>
      <c r="HN115" s="456"/>
      <c r="HO115" s="456"/>
      <c r="HP115" s="465"/>
      <c r="HQ115" s="456"/>
      <c r="HR115" s="456"/>
      <c r="HS115" s="456"/>
      <c r="HT115" s="456"/>
      <c r="HU115" s="456"/>
      <c r="HV115" s="456"/>
      <c r="HW115" s="456"/>
      <c r="HX115" s="456"/>
      <c r="HY115" s="456"/>
      <c r="HZ115" s="456"/>
      <c r="IA115" s="456"/>
      <c r="IB115" s="456"/>
      <c r="IC115" s="456"/>
      <c r="ID115" s="456"/>
      <c r="IE115" s="456"/>
      <c r="IF115" s="456"/>
      <c r="IG115" s="456"/>
      <c r="IH115" s="456"/>
      <c r="II115" s="456"/>
      <c r="IJ115" s="456"/>
      <c r="IK115" s="456"/>
      <c r="IL115" s="456"/>
      <c r="IM115" s="456"/>
      <c r="IN115" s="457"/>
      <c r="IO115" s="457"/>
      <c r="IP115" s="456"/>
      <c r="IQ115" s="456"/>
      <c r="IR115" s="456"/>
      <c r="IS115" s="456"/>
      <c r="IT115" s="456"/>
      <c r="IU115" s="456"/>
      <c r="IV115" s="456"/>
      <c r="IW115" s="456"/>
      <c r="IX115" s="456"/>
      <c r="IY115" s="456"/>
      <c r="IZ115" s="456"/>
      <c r="JA115" s="456"/>
      <c r="JB115" s="456"/>
      <c r="JC115" s="456"/>
      <c r="JD115" s="456"/>
      <c r="JE115" s="456"/>
      <c r="JF115" s="456"/>
      <c r="JG115" s="456"/>
      <c r="JH115" s="456"/>
      <c r="JI115" s="456"/>
      <c r="JJ115" s="456"/>
      <c r="JK115" s="456"/>
      <c r="JL115" s="456"/>
      <c r="JM115" s="456"/>
      <c r="JN115" s="456"/>
      <c r="JO115" s="456"/>
      <c r="JP115" s="456"/>
      <c r="JQ115" s="456"/>
      <c r="JR115" s="456"/>
      <c r="JS115" s="456"/>
      <c r="JT115" s="456"/>
      <c r="JU115" s="456"/>
      <c r="JV115" s="456"/>
      <c r="JW115" s="456"/>
      <c r="JX115" s="456"/>
      <c r="JY115" s="456"/>
      <c r="JZ115" s="456"/>
      <c r="KA115" s="456"/>
      <c r="KB115" s="456"/>
      <c r="KC115" s="456"/>
      <c r="KD115" s="456"/>
      <c r="KE115" s="456"/>
      <c r="KF115" s="456"/>
    </row>
    <row r="116" spans="1:292" ht="70" hidden="1" customHeight="1">
      <c r="A116" s="170" t="s">
        <v>388</v>
      </c>
      <c r="B116" s="334">
        <v>58</v>
      </c>
      <c r="C116" s="334"/>
      <c r="D116" s="334"/>
      <c r="E116" s="334"/>
      <c r="F116" s="331" t="s">
        <v>369</v>
      </c>
      <c r="G116" s="78" t="s">
        <v>234</v>
      </c>
      <c r="H116" s="78"/>
      <c r="I116" s="104" t="s">
        <v>162</v>
      </c>
      <c r="J116" s="156" t="s">
        <v>334</v>
      </c>
      <c r="K116" s="244"/>
      <c r="L116" s="41" t="s">
        <v>55</v>
      </c>
      <c r="M116" s="33"/>
      <c r="N116" s="42"/>
      <c r="O116" s="33"/>
      <c r="P116" s="628">
        <f>P115+42</f>
        <v>46509</v>
      </c>
      <c r="Q116" s="628">
        <f t="shared" ref="Q116:Q117" si="36">Q115+42</f>
        <v>46551</v>
      </c>
      <c r="R116" s="628">
        <v>3</v>
      </c>
      <c r="S116" s="87"/>
      <c r="T116" s="585">
        <f t="shared" ref="T116:T138" si="37">T115+42</f>
        <v>46903</v>
      </c>
      <c r="U116" s="364"/>
      <c r="V116" s="271"/>
      <c r="W116" s="452" t="s">
        <v>237</v>
      </c>
      <c r="X116" s="465"/>
      <c r="Y116" s="465"/>
      <c r="Z116" s="465"/>
      <c r="AA116" s="465"/>
      <c r="AB116" s="465"/>
      <c r="AC116" s="465"/>
      <c r="AD116" s="465"/>
      <c r="AE116" s="465"/>
      <c r="AF116" s="465"/>
      <c r="AG116" s="340"/>
      <c r="AH116" s="465"/>
      <c r="AI116" s="465"/>
      <c r="AJ116" s="457"/>
      <c r="AK116" s="457"/>
      <c r="AL116" s="465"/>
      <c r="AM116" s="465"/>
      <c r="AN116" s="465"/>
      <c r="AO116" s="465"/>
      <c r="AP116" s="465"/>
      <c r="AQ116" s="465"/>
      <c r="AR116" s="465"/>
      <c r="AS116" s="7"/>
      <c r="AT116" s="7"/>
      <c r="AU116" s="456"/>
      <c r="AV116" s="340"/>
      <c r="AW116" s="465"/>
      <c r="AX116" s="456"/>
      <c r="AY116" s="465"/>
      <c r="AZ116" s="465"/>
      <c r="BA116" s="465"/>
      <c r="BB116" s="465"/>
      <c r="BC116" s="465"/>
      <c r="BD116" s="465"/>
      <c r="BE116" s="465"/>
      <c r="BF116" s="590"/>
      <c r="BG116" s="465"/>
      <c r="BH116" s="465"/>
      <c r="BI116" s="465"/>
      <c r="BJ116" s="465"/>
      <c r="BK116" s="465"/>
      <c r="BL116" s="465"/>
      <c r="BM116" s="465"/>
      <c r="BN116" s="465"/>
      <c r="BO116" s="465"/>
      <c r="BP116" s="465"/>
      <c r="BQ116" s="465"/>
      <c r="BR116" s="465"/>
      <c r="BS116" s="465"/>
      <c r="BT116" s="465"/>
      <c r="BU116" s="465"/>
      <c r="BV116" s="7"/>
      <c r="BW116" s="7"/>
      <c r="BX116" s="456"/>
      <c r="BY116" s="456"/>
      <c r="BZ116" s="456"/>
      <c r="CA116" s="7"/>
      <c r="CB116" s="465"/>
      <c r="CC116" s="465"/>
      <c r="CD116" s="465"/>
      <c r="CE116" s="465"/>
      <c r="CF116" s="7"/>
      <c r="CG116" s="7"/>
      <c r="CH116" s="465"/>
      <c r="CI116" s="7"/>
      <c r="CJ116" s="7"/>
      <c r="CK116" s="465"/>
      <c r="CL116" s="465"/>
      <c r="CM116" s="457"/>
      <c r="CN116" s="457"/>
      <c r="CO116" s="456"/>
      <c r="CP116" s="465"/>
      <c r="CQ116" s="465"/>
      <c r="CR116" s="465"/>
      <c r="CS116" s="465"/>
      <c r="CT116" s="465"/>
      <c r="CU116" s="465"/>
      <c r="CV116" s="465"/>
      <c r="CW116" s="456"/>
      <c r="CX116" s="456"/>
      <c r="CY116" s="456"/>
      <c r="CZ116" s="465"/>
      <c r="DA116" s="465"/>
      <c r="DB116" s="465"/>
      <c r="DC116" s="465"/>
      <c r="DD116" s="456"/>
      <c r="DE116" s="456"/>
      <c r="DF116" s="465"/>
      <c r="DG116" s="465"/>
      <c r="DH116" s="465"/>
      <c r="DI116" s="456"/>
      <c r="DJ116" s="456"/>
      <c r="DK116" s="456"/>
      <c r="DL116" s="465"/>
      <c r="DM116" s="465"/>
      <c r="DN116" s="465"/>
      <c r="DO116" s="465"/>
      <c r="DP116" s="456"/>
      <c r="DQ116" s="456"/>
      <c r="DR116" s="465"/>
      <c r="DS116" s="7"/>
      <c r="DT116" s="465"/>
      <c r="DU116" s="456"/>
      <c r="DV116" s="456"/>
      <c r="DW116" s="456"/>
      <c r="DX116" s="456"/>
      <c r="DY116" s="456"/>
      <c r="DZ116" s="456"/>
      <c r="EA116" s="456"/>
      <c r="EB116" s="456"/>
      <c r="EC116" s="456"/>
      <c r="ED116" s="456"/>
      <c r="EE116" s="456"/>
      <c r="EF116" s="456"/>
      <c r="EG116" s="456"/>
      <c r="EH116" s="456"/>
      <c r="EI116" s="456"/>
      <c r="EJ116" s="549"/>
      <c r="EK116" s="456"/>
      <c r="EL116" s="456"/>
      <c r="EM116" s="457"/>
      <c r="EN116" s="457"/>
      <c r="EO116" s="456"/>
      <c r="EP116" s="456"/>
      <c r="EQ116" s="456"/>
      <c r="ER116" s="456"/>
      <c r="ES116" s="456"/>
      <c r="ET116" s="456"/>
      <c r="EU116" s="456"/>
      <c r="EV116" s="456"/>
      <c r="EW116" s="456"/>
      <c r="EX116" s="505" t="s">
        <v>324</v>
      </c>
      <c r="EY116" s="505"/>
      <c r="EZ116" s="505"/>
      <c r="FA116" s="505"/>
      <c r="FB116" s="505"/>
      <c r="FC116" s="505"/>
      <c r="FD116" s="603" t="s">
        <v>325</v>
      </c>
      <c r="FE116" s="603"/>
      <c r="FF116" s="603"/>
      <c r="FG116" s="603"/>
      <c r="FH116" s="603"/>
      <c r="FI116" s="603"/>
      <c r="FJ116" s="601" t="s">
        <v>272</v>
      </c>
      <c r="FK116" s="601"/>
      <c r="FL116" s="601"/>
      <c r="FM116" s="601"/>
      <c r="FN116" s="601"/>
      <c r="FO116" s="602" t="s">
        <v>282</v>
      </c>
      <c r="FP116" s="598" t="s">
        <v>265</v>
      </c>
      <c r="FQ116" s="598"/>
      <c r="FR116" s="598"/>
      <c r="FS116" s="598"/>
      <c r="FT116" s="598"/>
      <c r="FU116" s="598"/>
      <c r="FV116" s="596" t="s">
        <v>261</v>
      </c>
      <c r="FW116" s="596"/>
      <c r="FX116" s="596"/>
      <c r="FY116" s="596"/>
      <c r="FZ116" s="596"/>
      <c r="GA116" s="471" t="s">
        <v>77</v>
      </c>
      <c r="GB116" s="471"/>
      <c r="GC116" s="471"/>
      <c r="GD116" s="471"/>
      <c r="GE116" s="471"/>
      <c r="GF116" s="471"/>
      <c r="GG116" s="473" t="s">
        <v>66</v>
      </c>
      <c r="GH116" s="473"/>
      <c r="GI116" s="473"/>
      <c r="GJ116" s="457"/>
      <c r="GK116" s="457"/>
      <c r="GL116" s="473"/>
      <c r="GO116" s="592" t="s">
        <v>247</v>
      </c>
      <c r="GP116" s="592"/>
      <c r="GQ116" s="592"/>
      <c r="GR116" s="592"/>
      <c r="GS116" s="592"/>
      <c r="GT116" s="592"/>
      <c r="GU116" s="591" t="s">
        <v>242</v>
      </c>
      <c r="GV116" s="591"/>
      <c r="GW116" s="591"/>
      <c r="GX116" s="591"/>
      <c r="GY116" s="591"/>
      <c r="GZ116" s="591"/>
      <c r="HA116" s="3" t="s">
        <v>238</v>
      </c>
      <c r="HB116" s="3" t="s">
        <v>243</v>
      </c>
      <c r="HC116" s="456"/>
      <c r="HD116" s="456"/>
      <c r="HE116" s="456"/>
      <c r="HF116" s="456"/>
      <c r="HG116" s="456"/>
      <c r="HH116" s="456"/>
      <c r="HI116" s="456"/>
      <c r="HJ116" s="456"/>
      <c r="HK116" s="456"/>
      <c r="HL116" s="456"/>
      <c r="HM116" s="456"/>
      <c r="HN116" s="456"/>
      <c r="HO116" s="456"/>
      <c r="HP116" s="465"/>
      <c r="HQ116" s="456"/>
      <c r="HR116" s="456"/>
      <c r="HS116" s="456"/>
      <c r="HT116" s="456"/>
      <c r="HU116" s="456"/>
      <c r="HV116" s="456"/>
      <c r="HW116" s="456"/>
      <c r="HX116" s="456"/>
      <c r="HY116" s="456"/>
      <c r="HZ116" s="456"/>
      <c r="IA116" s="456"/>
      <c r="IB116" s="456"/>
      <c r="IC116" s="456"/>
      <c r="ID116" s="456"/>
      <c r="IE116" s="456"/>
      <c r="IF116" s="456"/>
      <c r="IG116" s="456"/>
      <c r="IH116" s="456"/>
      <c r="II116" s="456"/>
      <c r="IJ116" s="456"/>
      <c r="IK116" s="456"/>
      <c r="IL116" s="456"/>
      <c r="IM116" s="456"/>
      <c r="IN116" s="457"/>
      <c r="IO116" s="457"/>
      <c r="IP116" s="456"/>
      <c r="IQ116" s="456"/>
      <c r="IR116" s="456"/>
      <c r="IS116" s="456"/>
      <c r="IT116" s="456"/>
      <c r="IU116" s="456"/>
      <c r="IV116" s="456"/>
      <c r="IW116" s="456"/>
      <c r="IX116" s="456"/>
      <c r="IY116" s="456"/>
      <c r="IZ116" s="456"/>
      <c r="JA116" s="456"/>
      <c r="JB116" s="456"/>
      <c r="JC116" s="456"/>
      <c r="JD116" s="456"/>
      <c r="JE116" s="456"/>
      <c r="JF116" s="456"/>
      <c r="JG116" s="456"/>
      <c r="JH116" s="456"/>
      <c r="JI116" s="456"/>
      <c r="JJ116" s="456"/>
      <c r="JK116" s="456"/>
      <c r="JL116" s="456"/>
      <c r="JM116" s="456"/>
      <c r="JN116" s="456"/>
      <c r="JO116" s="456"/>
      <c r="JP116" s="456"/>
      <c r="JQ116" s="456"/>
      <c r="JR116" s="456"/>
      <c r="JS116" s="456"/>
      <c r="JT116" s="456"/>
      <c r="JU116" s="456"/>
      <c r="JV116" s="456"/>
      <c r="JW116" s="456"/>
      <c r="JX116" s="456"/>
      <c r="JY116" s="456"/>
      <c r="JZ116" s="456"/>
      <c r="KA116" s="456"/>
      <c r="KB116" s="456"/>
      <c r="KC116" s="456"/>
      <c r="KD116" s="456"/>
      <c r="KE116" s="456"/>
      <c r="KF116" s="456"/>
    </row>
    <row r="117" spans="1:292" ht="70" hidden="1" customHeight="1">
      <c r="A117" s="170" t="s">
        <v>390</v>
      </c>
      <c r="B117" s="334">
        <v>59</v>
      </c>
      <c r="C117" s="334"/>
      <c r="D117" s="334"/>
      <c r="E117" s="334"/>
      <c r="F117" s="331" t="s">
        <v>369</v>
      </c>
      <c r="G117" s="78" t="s">
        <v>234</v>
      </c>
      <c r="H117" s="78"/>
      <c r="I117" s="104" t="s">
        <v>162</v>
      </c>
      <c r="J117" s="156" t="s">
        <v>334</v>
      </c>
      <c r="K117" s="244"/>
      <c r="L117" s="41" t="s">
        <v>55</v>
      </c>
      <c r="M117" s="33"/>
      <c r="N117" s="42"/>
      <c r="O117" s="33"/>
      <c r="P117" s="628">
        <f>P116+42</f>
        <v>46551</v>
      </c>
      <c r="Q117" s="628">
        <f t="shared" si="36"/>
        <v>46593</v>
      </c>
      <c r="R117" s="628">
        <f t="shared" si="33"/>
        <v>45</v>
      </c>
      <c r="S117" s="87"/>
      <c r="T117" s="585">
        <f t="shared" si="37"/>
        <v>46945</v>
      </c>
      <c r="U117" s="364"/>
      <c r="V117" s="271"/>
      <c r="W117" s="452" t="s">
        <v>237</v>
      </c>
      <c r="X117" s="465"/>
      <c r="Y117" s="465"/>
      <c r="Z117" s="465"/>
      <c r="AA117" s="465"/>
      <c r="AB117" s="465"/>
      <c r="AC117" s="465"/>
      <c r="AD117" s="465"/>
      <c r="AE117" s="465"/>
      <c r="AF117" s="465"/>
      <c r="AG117" s="340"/>
      <c r="AH117" s="465"/>
      <c r="AI117" s="465"/>
      <c r="AJ117" s="457"/>
      <c r="AK117" s="457"/>
      <c r="AL117" s="465"/>
      <c r="AM117" s="465"/>
      <c r="AN117" s="465"/>
      <c r="AO117" s="465"/>
      <c r="AP117" s="465"/>
      <c r="AQ117" s="465"/>
      <c r="AR117" s="465"/>
      <c r="AS117" s="7"/>
      <c r="AT117" s="7"/>
      <c r="AU117" s="456"/>
      <c r="AV117" s="340"/>
      <c r="AW117" s="465"/>
      <c r="AX117" s="456"/>
      <c r="AY117" s="465"/>
      <c r="AZ117" s="465"/>
      <c r="BA117" s="465"/>
      <c r="BB117" s="465"/>
      <c r="BC117" s="465"/>
      <c r="BD117" s="465"/>
      <c r="BE117" s="465"/>
      <c r="BF117" s="590"/>
      <c r="BG117" s="465"/>
      <c r="BH117" s="465"/>
      <c r="BI117" s="465"/>
      <c r="BJ117" s="465"/>
      <c r="BK117" s="465"/>
      <c r="BL117" s="465"/>
      <c r="BM117" s="465"/>
      <c r="BN117" s="465"/>
      <c r="BO117" s="465"/>
      <c r="BP117" s="465"/>
      <c r="BQ117" s="465"/>
      <c r="BR117" s="465"/>
      <c r="BS117" s="465"/>
      <c r="BT117" s="465"/>
      <c r="BU117" s="465"/>
      <c r="BV117" s="7"/>
      <c r="BW117" s="7"/>
      <c r="BX117" s="456"/>
      <c r="BY117" s="456"/>
      <c r="BZ117" s="456"/>
      <c r="CA117" s="7"/>
      <c r="CB117" s="465"/>
      <c r="CC117" s="465"/>
      <c r="CD117" s="465"/>
      <c r="CE117" s="465"/>
      <c r="CF117" s="7"/>
      <c r="CG117" s="7"/>
      <c r="CH117" s="465"/>
      <c r="CI117" s="7"/>
      <c r="CJ117" s="7"/>
      <c r="CK117" s="465"/>
      <c r="CL117" s="465"/>
      <c r="CM117" s="457"/>
      <c r="CN117" s="457"/>
      <c r="CO117" s="456"/>
      <c r="CP117" s="465"/>
      <c r="CQ117" s="465"/>
      <c r="CR117" s="465"/>
      <c r="CS117" s="465"/>
      <c r="CT117" s="465"/>
      <c r="CU117" s="465"/>
      <c r="CV117" s="465"/>
      <c r="CW117" s="456"/>
      <c r="CX117" s="456"/>
      <c r="CY117" s="456"/>
      <c r="CZ117" s="465"/>
      <c r="DA117" s="465"/>
      <c r="DB117" s="465"/>
      <c r="DC117" s="465"/>
      <c r="DD117" s="456"/>
      <c r="DE117" s="456"/>
      <c r="DF117" s="465"/>
      <c r="DG117" s="465"/>
      <c r="DH117" s="465"/>
      <c r="DI117" s="456"/>
      <c r="DJ117" s="456"/>
      <c r="DK117" s="456"/>
      <c r="DL117" s="465"/>
      <c r="DM117" s="465"/>
      <c r="DN117" s="465"/>
      <c r="DO117" s="465"/>
      <c r="DP117" s="456"/>
      <c r="DQ117" s="456"/>
      <c r="DR117" s="465"/>
      <c r="DS117" s="465"/>
      <c r="DT117" s="465"/>
      <c r="DU117" s="465"/>
      <c r="DV117" s="456"/>
      <c r="DW117" s="456"/>
      <c r="DX117" s="465"/>
      <c r="DY117" s="456"/>
      <c r="DZ117" s="456"/>
      <c r="EA117" s="456"/>
      <c r="EB117" s="456"/>
      <c r="EC117" s="456"/>
      <c r="ED117" s="456"/>
      <c r="EE117" s="456"/>
      <c r="EF117" s="456"/>
      <c r="EG117" s="456"/>
      <c r="EH117" s="456"/>
      <c r="EI117" s="456"/>
      <c r="EJ117" s="456"/>
      <c r="EK117" s="456"/>
      <c r="EL117" s="456"/>
      <c r="EM117" s="457"/>
      <c r="EN117" s="457"/>
      <c r="EO117" s="456"/>
      <c r="EP117" s="456"/>
      <c r="EQ117" s="456"/>
      <c r="ER117" s="456"/>
      <c r="ES117" s="456"/>
      <c r="ET117" s="456"/>
      <c r="EU117" s="456"/>
      <c r="EV117" s="456"/>
      <c r="EW117" s="456"/>
      <c r="EX117" s="456"/>
      <c r="EY117" s="456"/>
      <c r="EZ117" s="456"/>
      <c r="FA117" s="456"/>
      <c r="FB117" s="456"/>
      <c r="FC117" s="456"/>
      <c r="FD117" s="505" t="s">
        <v>324</v>
      </c>
      <c r="FE117" s="505"/>
      <c r="FF117" s="505"/>
      <c r="FG117" s="505"/>
      <c r="FH117" s="505"/>
      <c r="FI117" s="505"/>
      <c r="FJ117" s="603" t="s">
        <v>325</v>
      </c>
      <c r="FK117" s="603"/>
      <c r="FL117" s="603"/>
      <c r="FM117" s="603"/>
      <c r="FN117" s="603"/>
      <c r="FO117" s="603"/>
      <c r="FP117" s="601" t="s">
        <v>272</v>
      </c>
      <c r="FQ117" s="601"/>
      <c r="FR117" s="601"/>
      <c r="FS117" s="601"/>
      <c r="FT117" s="601"/>
      <c r="FU117" s="602" t="s">
        <v>282</v>
      </c>
      <c r="FV117" s="598" t="s">
        <v>265</v>
      </c>
      <c r="FW117" s="598"/>
      <c r="FX117" s="598"/>
      <c r="FY117" s="598"/>
      <c r="FZ117" s="598"/>
      <c r="GA117" s="596" t="s">
        <v>261</v>
      </c>
      <c r="GB117" s="596"/>
      <c r="GC117" s="596"/>
      <c r="GD117" s="596"/>
      <c r="GE117" s="596"/>
      <c r="GF117" s="596"/>
      <c r="GG117" s="471" t="s">
        <v>77</v>
      </c>
      <c r="GH117" s="471"/>
      <c r="GI117" s="471"/>
      <c r="GJ117" s="457"/>
      <c r="GK117" s="457"/>
      <c r="GL117" s="471"/>
      <c r="GO117" s="473" t="s">
        <v>66</v>
      </c>
      <c r="GP117" s="473"/>
      <c r="GQ117" s="473"/>
      <c r="GR117" s="473"/>
      <c r="GS117" s="473"/>
      <c r="GT117" s="473"/>
      <c r="GU117" s="592" t="s">
        <v>247</v>
      </c>
      <c r="GV117" s="592"/>
      <c r="GW117" s="592"/>
      <c r="GX117" s="592"/>
      <c r="GY117" s="592"/>
      <c r="GZ117" s="592"/>
      <c r="HA117" s="591" t="s">
        <v>242</v>
      </c>
      <c r="HB117" s="591"/>
      <c r="HC117" s="591"/>
      <c r="HD117" s="591"/>
      <c r="HE117" s="591"/>
      <c r="HF117" s="591"/>
      <c r="HG117" s="3" t="s">
        <v>238</v>
      </c>
      <c r="HH117" s="3" t="s">
        <v>243</v>
      </c>
      <c r="HI117" s="456"/>
      <c r="HJ117" s="456"/>
      <c r="HK117" s="456"/>
      <c r="HL117" s="456"/>
      <c r="HM117" s="456"/>
      <c r="HN117" s="456"/>
      <c r="HO117" s="456"/>
      <c r="HP117" s="465"/>
      <c r="HQ117" s="456"/>
      <c r="HR117" s="456"/>
      <c r="HS117" s="456"/>
      <c r="HT117" s="456"/>
      <c r="HU117" s="456"/>
      <c r="HV117" s="456"/>
      <c r="HW117" s="456"/>
      <c r="HX117" s="456"/>
      <c r="HY117" s="456"/>
      <c r="HZ117" s="456"/>
      <c r="IA117" s="456"/>
      <c r="IB117" s="456"/>
      <c r="IC117" s="456"/>
      <c r="ID117" s="456"/>
      <c r="IE117" s="456"/>
      <c r="IF117" s="456"/>
      <c r="IG117" s="456"/>
      <c r="IH117" s="456"/>
      <c r="II117" s="456"/>
      <c r="IJ117" s="456"/>
      <c r="IK117" s="456"/>
      <c r="IL117" s="456"/>
      <c r="IM117" s="456"/>
      <c r="IN117" s="457"/>
      <c r="IO117" s="457"/>
      <c r="IP117" s="456"/>
      <c r="IQ117" s="456"/>
      <c r="IR117" s="456"/>
      <c r="IS117" s="456"/>
      <c r="IT117" s="456"/>
      <c r="IU117" s="456"/>
      <c r="IV117" s="456"/>
      <c r="IW117" s="456"/>
      <c r="IX117" s="456"/>
      <c r="IY117" s="456"/>
      <c r="IZ117" s="456"/>
      <c r="JA117" s="456"/>
      <c r="JB117" s="456"/>
      <c r="JC117" s="456"/>
      <c r="JD117" s="456"/>
      <c r="JE117" s="456"/>
      <c r="JF117" s="456"/>
      <c r="JG117" s="456"/>
      <c r="JH117" s="456"/>
      <c r="JI117" s="456"/>
      <c r="JJ117" s="456"/>
      <c r="JK117" s="456"/>
      <c r="JL117" s="456"/>
      <c r="JM117" s="456"/>
      <c r="JN117" s="456"/>
      <c r="JO117" s="456"/>
      <c r="JP117" s="456"/>
      <c r="JQ117" s="456"/>
      <c r="JR117" s="456"/>
      <c r="JS117" s="456"/>
      <c r="JT117" s="456"/>
      <c r="JU117" s="456"/>
      <c r="JV117" s="456"/>
      <c r="JW117" s="456"/>
      <c r="JX117" s="456"/>
      <c r="JY117" s="456"/>
      <c r="JZ117" s="456"/>
      <c r="KA117" s="456"/>
      <c r="KB117" s="456"/>
      <c r="KC117" s="456"/>
      <c r="KD117" s="456"/>
      <c r="KE117" s="456"/>
      <c r="KF117" s="456"/>
    </row>
    <row r="118" spans="1:292" ht="70" hidden="1" customHeight="1">
      <c r="A118" s="170" t="s">
        <v>391</v>
      </c>
      <c r="B118" s="334">
        <v>60</v>
      </c>
      <c r="C118" s="334"/>
      <c r="D118" s="334"/>
      <c r="E118" s="334"/>
      <c r="F118" s="331" t="s">
        <v>369</v>
      </c>
      <c r="G118" s="78" t="s">
        <v>234</v>
      </c>
      <c r="H118" s="78"/>
      <c r="I118" s="69" t="s">
        <v>125</v>
      </c>
      <c r="J118" s="155" t="s">
        <v>392</v>
      </c>
      <c r="K118" s="244" t="s">
        <v>270</v>
      </c>
      <c r="L118" s="77" t="s">
        <v>34</v>
      </c>
      <c r="M118" s="33">
        <v>46275</v>
      </c>
      <c r="N118" s="42">
        <v>46296</v>
      </c>
      <c r="O118" s="33">
        <v>46426</v>
      </c>
      <c r="P118" s="628">
        <f t="shared" ref="P118:Q135" si="38">P117+28</f>
        <v>46579</v>
      </c>
      <c r="Q118" s="628">
        <f>Q117+28+14</f>
        <v>46635</v>
      </c>
      <c r="R118" s="628">
        <f t="shared" ref="R118:R122" si="39">R117+28</f>
        <v>73</v>
      </c>
      <c r="S118" s="87"/>
      <c r="T118" s="585">
        <f t="shared" si="37"/>
        <v>46987</v>
      </c>
      <c r="U118" s="364">
        <f t="shared" si="29"/>
        <v>561</v>
      </c>
      <c r="V118" s="271"/>
      <c r="W118" s="452" t="s">
        <v>508</v>
      </c>
      <c r="X118" s="465"/>
      <c r="Y118" s="465"/>
      <c r="Z118" s="465"/>
      <c r="AA118" s="465"/>
      <c r="AB118" s="465"/>
      <c r="AC118" s="465"/>
      <c r="AD118" s="465"/>
      <c r="AE118" s="465"/>
      <c r="AF118" s="465"/>
      <c r="AG118" s="340"/>
      <c r="AH118" s="465"/>
      <c r="AI118" s="465"/>
      <c r="AJ118" s="457"/>
      <c r="AK118" s="457"/>
      <c r="AL118" s="465"/>
      <c r="AM118" s="465"/>
      <c r="AN118" s="465"/>
      <c r="AO118" s="465"/>
      <c r="AP118" s="465"/>
      <c r="AQ118" s="465"/>
      <c r="AR118" s="465"/>
      <c r="AS118" s="7"/>
      <c r="AT118" s="7"/>
      <c r="AU118" s="456"/>
      <c r="AV118" s="340"/>
      <c r="AW118" s="465"/>
      <c r="AX118" s="456"/>
      <c r="AY118" s="465"/>
      <c r="AZ118" s="465"/>
      <c r="BA118" s="465"/>
      <c r="BB118" s="465"/>
      <c r="BC118" s="465"/>
      <c r="BD118" s="465"/>
      <c r="BE118" s="465"/>
      <c r="BF118" s="590"/>
      <c r="BG118" s="465"/>
      <c r="BH118" s="465"/>
      <c r="BI118" s="465"/>
      <c r="BJ118" s="465"/>
      <c r="BK118" s="465"/>
      <c r="BL118" s="465"/>
      <c r="BM118" s="465"/>
      <c r="BN118" s="465"/>
      <c r="BO118" s="465"/>
      <c r="BP118" s="465"/>
      <c r="BQ118" s="465"/>
      <c r="BR118" s="465"/>
      <c r="BS118" s="465"/>
      <c r="BT118" s="465"/>
      <c r="BU118" s="465"/>
      <c r="BV118" s="7"/>
      <c r="BW118" s="7"/>
      <c r="BX118" s="456"/>
      <c r="BY118" s="456"/>
      <c r="BZ118" s="456"/>
      <c r="CA118" s="7"/>
      <c r="CB118" s="465"/>
      <c r="CC118" s="465"/>
      <c r="CD118" s="465"/>
      <c r="CE118" s="465"/>
      <c r="CF118" s="7"/>
      <c r="CG118" s="7"/>
      <c r="CH118" s="465"/>
      <c r="CI118" s="7"/>
      <c r="CJ118" s="7"/>
      <c r="CK118" s="465"/>
      <c r="CL118" s="465"/>
      <c r="CM118" s="457"/>
      <c r="CN118" s="457"/>
      <c r="CO118" s="456"/>
      <c r="CP118" s="465"/>
      <c r="CQ118" s="465"/>
      <c r="CR118" s="465"/>
      <c r="CS118" s="7"/>
      <c r="CT118" s="465"/>
      <c r="CU118" s="465"/>
      <c r="CV118" s="465"/>
      <c r="CW118" s="456"/>
      <c r="CX118" s="465"/>
      <c r="CY118" s="465"/>
      <c r="CZ118" s="590"/>
      <c r="DA118" s="465"/>
      <c r="DB118" s="465"/>
      <c r="DC118" s="465"/>
      <c r="DD118" s="465"/>
      <c r="DE118" s="456"/>
      <c r="DF118" s="465"/>
      <c r="DG118" s="465"/>
      <c r="DH118" s="465"/>
      <c r="DI118" s="465"/>
      <c r="DJ118" s="465"/>
      <c r="DK118" s="465"/>
      <c r="DL118" s="465"/>
      <c r="DM118" s="465"/>
      <c r="DN118" s="465"/>
      <c r="DO118" s="456"/>
      <c r="DP118" s="456"/>
      <c r="DQ118" s="456"/>
      <c r="DR118" s="7"/>
      <c r="DS118" s="465"/>
      <c r="DT118" s="465"/>
      <c r="DU118" s="456"/>
      <c r="DV118" s="456"/>
      <c r="DW118" s="456"/>
      <c r="DX118" s="456"/>
      <c r="DY118" s="456"/>
      <c r="DZ118" s="456"/>
      <c r="EA118" s="549"/>
      <c r="EB118" s="456"/>
      <c r="EC118" s="456"/>
      <c r="ED118" s="456"/>
      <c r="EE118" s="456"/>
      <c r="EF118" s="456"/>
      <c r="EG118" s="456"/>
      <c r="EH118" s="456"/>
      <c r="EI118" s="456"/>
      <c r="EJ118" s="456"/>
      <c r="EK118" s="456"/>
      <c r="EL118" s="465"/>
      <c r="EM118" s="457"/>
      <c r="EN118" s="457"/>
      <c r="EO118" s="465"/>
      <c r="EP118" s="465"/>
      <c r="EQ118" s="465"/>
      <c r="ER118" s="465"/>
      <c r="ES118" s="465"/>
      <c r="ET118" s="465"/>
      <c r="EU118" s="465"/>
      <c r="EV118" s="465"/>
      <c r="EW118" s="465"/>
      <c r="EX118" s="465"/>
      <c r="EY118" s="590"/>
      <c r="EZ118" s="465"/>
      <c r="FA118" s="465"/>
      <c r="FB118" s="465"/>
      <c r="FC118" s="465"/>
      <c r="FD118" s="465"/>
      <c r="FE118" s="465"/>
      <c r="FF118" s="465"/>
      <c r="FG118" s="465"/>
      <c r="FH118" s="465"/>
      <c r="FI118" s="465"/>
      <c r="FJ118" s="505" t="s">
        <v>324</v>
      </c>
      <c r="FK118" s="505"/>
      <c r="FL118" s="505"/>
      <c r="FM118" s="505"/>
      <c r="FN118" s="505"/>
      <c r="FO118" s="505"/>
      <c r="FP118" s="603" t="s">
        <v>325</v>
      </c>
      <c r="FQ118" s="603"/>
      <c r="FR118" s="603"/>
      <c r="FS118" s="603"/>
      <c r="FT118" s="603"/>
      <c r="FU118" s="603"/>
      <c r="FV118" s="601" t="s">
        <v>272</v>
      </c>
      <c r="FW118" s="601"/>
      <c r="FX118" s="601"/>
      <c r="FY118" s="601"/>
      <c r="FZ118" s="602" t="s">
        <v>282</v>
      </c>
      <c r="GA118" s="598" t="s">
        <v>265</v>
      </c>
      <c r="GB118" s="598"/>
      <c r="GC118" s="598"/>
      <c r="GD118" s="598"/>
      <c r="GE118" s="598"/>
      <c r="GF118" s="598"/>
      <c r="GG118" s="596" t="s">
        <v>261</v>
      </c>
      <c r="GH118" s="596"/>
      <c r="GI118" s="596"/>
      <c r="GJ118" s="457"/>
      <c r="GK118" s="457"/>
      <c r="GL118" s="596"/>
      <c r="GO118" s="471" t="s">
        <v>77</v>
      </c>
      <c r="GP118" s="471"/>
      <c r="GQ118" s="471"/>
      <c r="GR118" s="471"/>
      <c r="GS118" s="471"/>
      <c r="GT118" s="471"/>
      <c r="GU118" s="473" t="s">
        <v>66</v>
      </c>
      <c r="GV118" s="473"/>
      <c r="GW118" s="473"/>
      <c r="GX118" s="473"/>
      <c r="GY118" s="473"/>
      <c r="GZ118" s="473"/>
      <c r="HA118" s="592" t="s">
        <v>247</v>
      </c>
      <c r="HB118" s="592"/>
      <c r="HC118" s="592"/>
      <c r="HD118" s="592"/>
      <c r="HE118" s="592"/>
      <c r="HF118" s="592"/>
      <c r="HG118" s="591" t="s">
        <v>242</v>
      </c>
      <c r="HH118" s="591"/>
      <c r="HI118" s="591"/>
      <c r="HJ118" s="591"/>
      <c r="HK118" s="591"/>
      <c r="HL118" s="591"/>
      <c r="HM118" s="3" t="s">
        <v>238</v>
      </c>
      <c r="HN118" s="3" t="s">
        <v>243</v>
      </c>
      <c r="HO118" s="465"/>
      <c r="HP118" s="465"/>
      <c r="HQ118" s="456"/>
      <c r="HR118" s="456"/>
      <c r="HS118" s="456"/>
      <c r="HT118" s="456"/>
      <c r="HU118" s="456"/>
      <c r="HV118" s="456"/>
      <c r="HW118" s="456"/>
      <c r="HX118" s="456"/>
      <c r="HY118" s="456"/>
      <c r="HZ118" s="456"/>
      <c r="IA118" s="456"/>
      <c r="IB118" s="456"/>
      <c r="IC118" s="456"/>
      <c r="ID118" s="456"/>
      <c r="IE118" s="456"/>
      <c r="IF118" s="456"/>
      <c r="IG118" s="456"/>
      <c r="IH118" s="456"/>
      <c r="II118" s="456"/>
      <c r="IJ118" s="456"/>
      <c r="IK118" s="456"/>
      <c r="IL118" s="456"/>
      <c r="IM118" s="456"/>
      <c r="IN118" s="457"/>
      <c r="IO118" s="457"/>
      <c r="IP118" s="456"/>
      <c r="IQ118" s="456"/>
      <c r="IR118" s="456"/>
      <c r="IS118" s="456"/>
      <c r="IT118" s="456"/>
      <c r="IU118" s="456"/>
      <c r="IV118" s="456"/>
      <c r="IW118" s="456"/>
      <c r="IX118" s="456"/>
      <c r="IY118" s="456"/>
      <c r="IZ118" s="456"/>
      <c r="JA118" s="456"/>
      <c r="JB118" s="456"/>
      <c r="JC118" s="456"/>
      <c r="JD118" s="456"/>
      <c r="JE118" s="456"/>
      <c r="JF118" s="456"/>
      <c r="JG118" s="456"/>
      <c r="JH118" s="456"/>
      <c r="JI118" s="456"/>
      <c r="JJ118" s="456"/>
      <c r="JK118" s="456"/>
      <c r="JL118" s="456"/>
      <c r="JM118" s="456"/>
      <c r="JN118" s="456"/>
      <c r="JO118" s="456"/>
      <c r="JP118" s="456"/>
      <c r="JQ118" s="456"/>
      <c r="JR118" s="456"/>
      <c r="JS118" s="456"/>
      <c r="JT118" s="456"/>
      <c r="JU118" s="456"/>
      <c r="JV118" s="456"/>
      <c r="JW118" s="456"/>
      <c r="JX118" s="456"/>
      <c r="JY118" s="456"/>
      <c r="JZ118" s="456"/>
      <c r="KA118" s="456"/>
      <c r="KB118" s="456"/>
      <c r="KC118" s="456"/>
      <c r="KD118" s="456"/>
      <c r="KE118" s="456"/>
      <c r="KF118" s="456"/>
    </row>
    <row r="119" spans="1:292" ht="70" hidden="1" customHeight="1">
      <c r="A119" s="170" t="s">
        <v>393</v>
      </c>
      <c r="B119" s="334">
        <v>61</v>
      </c>
      <c r="C119" s="334"/>
      <c r="D119" s="334"/>
      <c r="E119" s="334"/>
      <c r="F119" s="331" t="s">
        <v>369</v>
      </c>
      <c r="G119" s="78" t="s">
        <v>234</v>
      </c>
      <c r="H119" s="78"/>
      <c r="I119" s="70" t="s">
        <v>333</v>
      </c>
      <c r="J119" s="155"/>
      <c r="K119" s="244"/>
      <c r="L119" s="78" t="s">
        <v>55</v>
      </c>
      <c r="M119" s="33"/>
      <c r="N119" s="42">
        <v>46467</v>
      </c>
      <c r="O119" s="33"/>
      <c r="P119" s="628">
        <v>46467</v>
      </c>
      <c r="Q119" s="628">
        <f t="shared" ref="Q119:R134" si="40">Q118+28</f>
        <v>46663</v>
      </c>
      <c r="R119" s="628">
        <f t="shared" si="39"/>
        <v>101</v>
      </c>
      <c r="S119" s="87"/>
      <c r="T119" s="585">
        <f t="shared" si="37"/>
        <v>47029</v>
      </c>
      <c r="U119" s="364"/>
      <c r="V119" s="271"/>
      <c r="W119" s="452" t="s">
        <v>508</v>
      </c>
      <c r="X119" s="465"/>
      <c r="Y119" s="465"/>
      <c r="Z119" s="465"/>
      <c r="AA119" s="465"/>
      <c r="AB119" s="465"/>
      <c r="AC119" s="465"/>
      <c r="AD119" s="465"/>
      <c r="AE119" s="465"/>
      <c r="AF119" s="465"/>
      <c r="AG119" s="340"/>
      <c r="AH119" s="465"/>
      <c r="AI119" s="465"/>
      <c r="AJ119" s="457"/>
      <c r="AK119" s="457"/>
      <c r="AL119" s="465"/>
      <c r="AM119" s="465"/>
      <c r="AN119" s="465"/>
      <c r="AO119" s="465"/>
      <c r="AP119" s="465"/>
      <c r="AQ119" s="465"/>
      <c r="AR119" s="465"/>
      <c r="AS119" s="7"/>
      <c r="AT119" s="7"/>
      <c r="AU119" s="456"/>
      <c r="AV119" s="340"/>
      <c r="AW119" s="465"/>
      <c r="AX119" s="456"/>
      <c r="AY119" s="465"/>
      <c r="AZ119" s="465"/>
      <c r="BA119" s="465"/>
      <c r="BB119" s="465"/>
      <c r="BC119" s="465"/>
      <c r="BD119" s="465"/>
      <c r="BE119" s="465"/>
      <c r="BF119" s="590"/>
      <c r="BG119" s="465"/>
      <c r="BH119" s="465"/>
      <c r="BI119" s="465"/>
      <c r="BJ119" s="465"/>
      <c r="BK119" s="465"/>
      <c r="BL119" s="465"/>
      <c r="BM119" s="465"/>
      <c r="BN119" s="465"/>
      <c r="BO119" s="465"/>
      <c r="BP119" s="465"/>
      <c r="BQ119" s="465"/>
      <c r="BR119" s="465"/>
      <c r="BS119" s="465"/>
      <c r="BT119" s="465"/>
      <c r="BU119" s="465"/>
      <c r="BV119" s="7"/>
      <c r="BW119" s="7"/>
      <c r="BX119" s="456"/>
      <c r="BY119" s="456"/>
      <c r="BZ119" s="456"/>
      <c r="CA119" s="7"/>
      <c r="CB119" s="465"/>
      <c r="CC119" s="465"/>
      <c r="CD119" s="465"/>
      <c r="CE119" s="465"/>
      <c r="CF119" s="7"/>
      <c r="CG119" s="7"/>
      <c r="CH119" s="465"/>
      <c r="CI119" s="7"/>
      <c r="CJ119" s="7"/>
      <c r="CK119" s="465"/>
      <c r="CL119" s="465"/>
      <c r="CM119" s="457"/>
      <c r="CN119" s="457"/>
      <c r="CO119" s="456"/>
      <c r="CP119" s="465"/>
      <c r="CQ119" s="465"/>
      <c r="CR119" s="465"/>
      <c r="CS119" s="7"/>
      <c r="CT119" s="465"/>
      <c r="CU119" s="465"/>
      <c r="CV119" s="465"/>
      <c r="CW119" s="456"/>
      <c r="CX119" s="465"/>
      <c r="CY119" s="465"/>
      <c r="CZ119" s="590"/>
      <c r="DA119" s="465"/>
      <c r="DB119" s="465"/>
      <c r="DC119" s="465"/>
      <c r="DD119" s="465"/>
      <c r="DE119" s="456"/>
      <c r="DF119" s="465"/>
      <c r="DG119" s="465"/>
      <c r="DH119" s="465"/>
      <c r="DI119" s="465"/>
      <c r="DJ119" s="465"/>
      <c r="DK119" s="465"/>
      <c r="DL119" s="465"/>
      <c r="DM119" s="465"/>
      <c r="DN119" s="465"/>
      <c r="DO119" s="465"/>
      <c r="DP119" s="465"/>
      <c r="DQ119" s="465"/>
      <c r="DR119" s="465"/>
      <c r="DS119" s="465"/>
      <c r="DT119" s="456"/>
      <c r="DU119" s="456"/>
      <c r="DV119" s="456"/>
      <c r="DW119" s="456"/>
      <c r="DX119" s="456"/>
      <c r="DY119" s="456"/>
      <c r="DZ119" s="456"/>
      <c r="EA119" s="549"/>
      <c r="EB119" s="456"/>
      <c r="EC119" s="456"/>
      <c r="ED119" s="456"/>
      <c r="EE119" s="456"/>
      <c r="EF119" s="456"/>
      <c r="EG119" s="456"/>
      <c r="EH119" s="456"/>
      <c r="EI119" s="456"/>
      <c r="EJ119" s="456"/>
      <c r="EK119" s="456"/>
      <c r="EL119" s="465"/>
      <c r="EM119" s="457"/>
      <c r="EN119" s="457"/>
      <c r="EO119" s="465"/>
      <c r="EP119" s="465"/>
      <c r="EQ119" s="465"/>
      <c r="ER119" s="465"/>
      <c r="ES119" s="465"/>
      <c r="ET119" s="465"/>
      <c r="EU119" s="465"/>
      <c r="EV119" s="465"/>
      <c r="EW119" s="465"/>
      <c r="EX119" s="465"/>
      <c r="EY119" s="465"/>
      <c r="EZ119" s="465"/>
      <c r="FA119" s="465"/>
      <c r="FB119" s="465"/>
      <c r="FC119" s="590"/>
      <c r="FD119" s="465"/>
      <c r="FE119" s="465"/>
      <c r="FF119" s="465"/>
      <c r="FG119" s="465"/>
      <c r="FH119" s="465"/>
      <c r="FI119" s="465"/>
      <c r="FJ119" s="465"/>
      <c r="FK119" s="465"/>
      <c r="FL119" s="465"/>
      <c r="FM119" s="465"/>
      <c r="FN119" s="465"/>
      <c r="FO119" s="465"/>
      <c r="FP119" s="505" t="s">
        <v>324</v>
      </c>
      <c r="FQ119" s="505"/>
      <c r="FR119" s="505"/>
      <c r="FS119" s="505"/>
      <c r="FT119" s="505"/>
      <c r="FU119" s="505"/>
      <c r="FV119" s="603" t="s">
        <v>325</v>
      </c>
      <c r="FW119" s="603"/>
      <c r="FX119" s="603"/>
      <c r="FY119" s="603"/>
      <c r="FZ119" s="603"/>
      <c r="GA119" s="601" t="s">
        <v>272</v>
      </c>
      <c r="GB119" s="601"/>
      <c r="GC119" s="601"/>
      <c r="GD119" s="601"/>
      <c r="GE119" s="601"/>
      <c r="GF119" s="602" t="s">
        <v>282</v>
      </c>
      <c r="GG119" s="598" t="s">
        <v>265</v>
      </c>
      <c r="GH119" s="598"/>
      <c r="GI119" s="598"/>
      <c r="GJ119" s="457"/>
      <c r="GK119" s="457"/>
      <c r="GL119" s="598"/>
      <c r="GO119" s="596" t="s">
        <v>261</v>
      </c>
      <c r="GP119" s="596"/>
      <c r="GQ119" s="596"/>
      <c r="GR119" s="596"/>
      <c r="GS119" s="596"/>
      <c r="GT119" s="596"/>
      <c r="GU119" s="471" t="s">
        <v>77</v>
      </c>
      <c r="GV119" s="471"/>
      <c r="GW119" s="471"/>
      <c r="GX119" s="471"/>
      <c r="GY119" s="471"/>
      <c r="GZ119" s="471"/>
      <c r="HA119" s="473" t="s">
        <v>66</v>
      </c>
      <c r="HB119" s="473"/>
      <c r="HC119" s="473"/>
      <c r="HD119" s="473"/>
      <c r="HE119" s="473"/>
      <c r="HF119" s="473"/>
      <c r="HG119" s="592" t="s">
        <v>247</v>
      </c>
      <c r="HH119" s="592"/>
      <c r="HI119" s="592"/>
      <c r="HJ119" s="592"/>
      <c r="HK119" s="592"/>
      <c r="HL119" s="592"/>
      <c r="HM119" s="591" t="s">
        <v>242</v>
      </c>
      <c r="HN119" s="591"/>
      <c r="HO119" s="591"/>
      <c r="HP119" s="591"/>
      <c r="HQ119" s="591"/>
      <c r="HR119" s="591"/>
      <c r="HS119" s="3" t="s">
        <v>238</v>
      </c>
      <c r="HT119" s="3" t="s">
        <v>243</v>
      </c>
      <c r="HU119" s="456"/>
      <c r="HV119" s="456"/>
      <c r="HW119" s="456"/>
      <c r="HX119" s="456"/>
      <c r="HY119" s="456"/>
      <c r="HZ119" s="456"/>
      <c r="IA119" s="456"/>
      <c r="IB119" s="456"/>
      <c r="IC119" s="456"/>
      <c r="ID119" s="456"/>
      <c r="IE119" s="456"/>
      <c r="IF119" s="456"/>
      <c r="IG119" s="456"/>
      <c r="IH119" s="456"/>
      <c r="II119" s="456"/>
      <c r="IJ119" s="456"/>
      <c r="IK119" s="456"/>
      <c r="IL119" s="456"/>
      <c r="IM119" s="456"/>
      <c r="IN119" s="457"/>
      <c r="IO119" s="457"/>
      <c r="IP119" s="456"/>
      <c r="IQ119" s="456"/>
      <c r="IR119" s="456"/>
      <c r="IS119" s="456"/>
      <c r="IT119" s="456"/>
      <c r="IU119" s="456"/>
      <c r="IV119" s="456"/>
      <c r="IW119" s="456"/>
      <c r="IX119" s="456"/>
      <c r="IY119" s="456"/>
      <c r="IZ119" s="456"/>
      <c r="JA119" s="456"/>
      <c r="JB119" s="456"/>
      <c r="JC119" s="456"/>
      <c r="JD119" s="456"/>
      <c r="JE119" s="456"/>
      <c r="JF119" s="456"/>
      <c r="JG119" s="456"/>
      <c r="JH119" s="456"/>
      <c r="JI119" s="456"/>
      <c r="JJ119" s="456"/>
      <c r="JK119" s="456"/>
      <c r="JL119" s="456"/>
      <c r="JM119" s="456"/>
      <c r="JN119" s="456"/>
      <c r="JO119" s="456"/>
      <c r="JP119" s="456"/>
      <c r="JQ119" s="456"/>
      <c r="JR119" s="456"/>
      <c r="JS119" s="456"/>
      <c r="JT119" s="456"/>
      <c r="JU119" s="456"/>
      <c r="JV119" s="456"/>
      <c r="JW119" s="456"/>
      <c r="JX119" s="456"/>
      <c r="JY119" s="456"/>
      <c r="JZ119" s="456"/>
      <c r="KA119" s="456"/>
      <c r="KB119" s="456"/>
      <c r="KC119" s="456"/>
      <c r="KD119" s="456"/>
      <c r="KE119" s="456"/>
      <c r="KF119" s="456"/>
    </row>
    <row r="120" spans="1:292" ht="70" hidden="1" customHeight="1">
      <c r="A120" s="170" t="s">
        <v>394</v>
      </c>
      <c r="B120" s="334">
        <v>62</v>
      </c>
      <c r="C120" s="334"/>
      <c r="D120" s="334"/>
      <c r="E120" s="334"/>
      <c r="F120" s="331" t="s">
        <v>369</v>
      </c>
      <c r="G120" s="78" t="s">
        <v>234</v>
      </c>
      <c r="H120" s="78"/>
      <c r="I120" s="69" t="s">
        <v>132</v>
      </c>
      <c r="J120" s="155" t="s">
        <v>395</v>
      </c>
      <c r="K120" s="244"/>
      <c r="L120" s="78" t="s">
        <v>55</v>
      </c>
      <c r="M120" s="33">
        <v>46263</v>
      </c>
      <c r="N120" s="42">
        <v>46487</v>
      </c>
      <c r="O120" s="33">
        <v>46489</v>
      </c>
      <c r="P120" s="628">
        <f t="shared" si="38"/>
        <v>46495</v>
      </c>
      <c r="Q120" s="628">
        <f t="shared" si="40"/>
        <v>46691</v>
      </c>
      <c r="R120" s="628">
        <f t="shared" si="39"/>
        <v>129</v>
      </c>
      <c r="S120" s="87"/>
      <c r="T120" s="585">
        <f t="shared" si="37"/>
        <v>47071</v>
      </c>
      <c r="U120" s="364">
        <f t="shared" si="29"/>
        <v>582</v>
      </c>
      <c r="V120" s="271"/>
      <c r="W120" s="452" t="s">
        <v>508</v>
      </c>
      <c r="X120" s="465"/>
      <c r="Y120" s="465"/>
      <c r="Z120" s="465"/>
      <c r="AA120" s="465"/>
      <c r="AB120" s="465"/>
      <c r="AC120" s="465"/>
      <c r="AD120" s="465"/>
      <c r="AE120" s="465"/>
      <c r="AF120" s="465"/>
      <c r="AG120" s="340"/>
      <c r="AH120" s="465"/>
      <c r="AI120" s="465"/>
      <c r="AJ120" s="457"/>
      <c r="AK120" s="457"/>
      <c r="AL120" s="465"/>
      <c r="AM120" s="465"/>
      <c r="AN120" s="465"/>
      <c r="AO120" s="465"/>
      <c r="AP120" s="465"/>
      <c r="AQ120" s="465"/>
      <c r="AR120" s="465"/>
      <c r="AS120" s="7"/>
      <c r="AT120" s="7"/>
      <c r="AU120" s="456"/>
      <c r="AV120" s="340"/>
      <c r="AW120" s="465"/>
      <c r="AX120" s="456"/>
      <c r="AY120" s="465"/>
      <c r="AZ120" s="465"/>
      <c r="BA120" s="465"/>
      <c r="BB120" s="465"/>
      <c r="BC120" s="465"/>
      <c r="BD120" s="465"/>
      <c r="BE120" s="465"/>
      <c r="BF120" s="590"/>
      <c r="BG120" s="465"/>
      <c r="BH120" s="465"/>
      <c r="BI120" s="465"/>
      <c r="BJ120" s="465"/>
      <c r="BK120" s="465"/>
      <c r="BL120" s="465"/>
      <c r="BM120" s="465"/>
      <c r="BN120" s="465"/>
      <c r="BO120" s="465"/>
      <c r="BP120" s="465"/>
      <c r="BQ120" s="465"/>
      <c r="BR120" s="465"/>
      <c r="BS120" s="465"/>
      <c r="BT120" s="465"/>
      <c r="BU120" s="465"/>
      <c r="BV120" s="7"/>
      <c r="BW120" s="7"/>
      <c r="BX120" s="456"/>
      <c r="BY120" s="456"/>
      <c r="BZ120" s="456"/>
      <c r="CA120" s="7"/>
      <c r="CB120" s="465"/>
      <c r="CC120" s="465"/>
      <c r="CD120" s="465"/>
      <c r="CE120" s="465"/>
      <c r="CF120" s="7"/>
      <c r="CG120" s="7"/>
      <c r="CH120" s="465"/>
      <c r="CI120" s="7"/>
      <c r="CJ120" s="7"/>
      <c r="CK120" s="465"/>
      <c r="CL120" s="465"/>
      <c r="CM120" s="457"/>
      <c r="CN120" s="457"/>
      <c r="CO120" s="456"/>
      <c r="CP120" s="465"/>
      <c r="CQ120" s="465"/>
      <c r="CR120" s="465"/>
      <c r="CS120" s="7"/>
      <c r="CT120" s="465"/>
      <c r="CU120" s="465"/>
      <c r="CV120" s="465"/>
      <c r="CW120" s="456"/>
      <c r="CX120" s="465"/>
      <c r="CY120" s="465"/>
      <c r="CZ120" s="590"/>
      <c r="DA120" s="465"/>
      <c r="DB120" s="465"/>
      <c r="DC120" s="465"/>
      <c r="DD120" s="465"/>
      <c r="DE120" s="456"/>
      <c r="DF120" s="465"/>
      <c r="DG120" s="465"/>
      <c r="DH120" s="465"/>
      <c r="DI120" s="465"/>
      <c r="DJ120" s="7"/>
      <c r="DK120" s="465"/>
      <c r="DL120" s="465"/>
      <c r="DM120" s="465"/>
      <c r="DN120" s="465"/>
      <c r="DO120" s="465"/>
      <c r="DP120" s="456"/>
      <c r="DQ120" s="456"/>
      <c r="DR120" s="465"/>
      <c r="DS120" s="465"/>
      <c r="DT120" s="465"/>
      <c r="DU120" s="465"/>
      <c r="DV120" s="7"/>
      <c r="DW120" s="7"/>
      <c r="DX120" s="465"/>
      <c r="DY120" s="465"/>
      <c r="DZ120" s="456"/>
      <c r="EA120" s="456"/>
      <c r="EB120" s="456"/>
      <c r="EC120" s="456"/>
      <c r="ED120" s="456"/>
      <c r="EE120" s="456"/>
      <c r="EF120" s="549"/>
      <c r="EG120" s="456"/>
      <c r="EH120" s="456"/>
      <c r="EI120" s="456"/>
      <c r="EJ120" s="456"/>
      <c r="EK120" s="456"/>
      <c r="EL120" s="465"/>
      <c r="EM120" s="457"/>
      <c r="EN120" s="457"/>
      <c r="EO120" s="465"/>
      <c r="EP120" s="465"/>
      <c r="EQ120" s="465"/>
      <c r="ER120" s="465"/>
      <c r="ES120" s="465"/>
      <c r="ET120" s="465"/>
      <c r="EU120" s="465"/>
      <c r="EV120" s="465"/>
      <c r="EW120" s="465"/>
      <c r="EX120" s="465"/>
      <c r="EY120" s="465"/>
      <c r="EZ120" s="465"/>
      <c r="FA120" s="465"/>
      <c r="FB120" s="465"/>
      <c r="FC120" s="465"/>
      <c r="FD120" s="465"/>
      <c r="FE120" s="465"/>
      <c r="FF120" s="465"/>
      <c r="FG120" s="590"/>
      <c r="FH120" s="465"/>
      <c r="FI120" s="465"/>
      <c r="FJ120" s="465"/>
      <c r="FK120" s="465"/>
      <c r="FL120" s="465"/>
      <c r="FM120" s="465"/>
      <c r="FN120" s="465"/>
      <c r="FO120" s="465"/>
      <c r="FP120" s="465"/>
      <c r="FQ120" s="465"/>
      <c r="FR120" s="465"/>
      <c r="FS120" s="465"/>
      <c r="FT120" s="465"/>
      <c r="FU120" s="465"/>
      <c r="FV120" s="505" t="s">
        <v>324</v>
      </c>
      <c r="FW120" s="505"/>
      <c r="FX120" s="505"/>
      <c r="FY120" s="505"/>
      <c r="FZ120" s="505"/>
      <c r="GA120" s="603" t="s">
        <v>325</v>
      </c>
      <c r="GB120" s="603"/>
      <c r="GC120" s="603"/>
      <c r="GD120" s="603"/>
      <c r="GE120" s="603"/>
      <c r="GF120" s="603"/>
      <c r="GG120" s="601" t="s">
        <v>272</v>
      </c>
      <c r="GH120" s="601"/>
      <c r="GI120" s="601"/>
      <c r="GJ120" s="457"/>
      <c r="GK120" s="457"/>
      <c r="GL120" s="602" t="s">
        <v>282</v>
      </c>
      <c r="GO120" s="598" t="s">
        <v>265</v>
      </c>
      <c r="GP120" s="598"/>
      <c r="GQ120" s="598"/>
      <c r="GR120" s="598"/>
      <c r="GS120" s="598"/>
      <c r="GT120" s="598"/>
      <c r="GU120" s="596" t="s">
        <v>261</v>
      </c>
      <c r="GV120" s="596"/>
      <c r="GW120" s="596"/>
      <c r="GX120" s="596"/>
      <c r="GY120" s="596"/>
      <c r="GZ120" s="596"/>
      <c r="HA120" s="471" t="s">
        <v>77</v>
      </c>
      <c r="HB120" s="471"/>
      <c r="HC120" s="471"/>
      <c r="HD120" s="471"/>
      <c r="HE120" s="471"/>
      <c r="HF120" s="471"/>
      <c r="HG120" s="473" t="s">
        <v>66</v>
      </c>
      <c r="HH120" s="473"/>
      <c r="HI120" s="473"/>
      <c r="HJ120" s="473"/>
      <c r="HK120" s="473"/>
      <c r="HL120" s="473"/>
      <c r="HM120" s="592" t="s">
        <v>247</v>
      </c>
      <c r="HN120" s="592"/>
      <c r="HO120" s="592"/>
      <c r="HP120" s="592"/>
      <c r="HQ120" s="592"/>
      <c r="HR120" s="592"/>
      <c r="HS120" s="591" t="s">
        <v>242</v>
      </c>
      <c r="HT120" s="591"/>
      <c r="HU120" s="591"/>
      <c r="HV120" s="591"/>
      <c r="HW120" s="591"/>
      <c r="HX120" s="591"/>
      <c r="HY120" s="3" t="s">
        <v>238</v>
      </c>
      <c r="HZ120" s="3" t="s">
        <v>243</v>
      </c>
      <c r="IA120" s="456"/>
      <c r="IB120" s="456"/>
      <c r="IC120" s="456"/>
      <c r="ID120" s="456"/>
      <c r="IE120" s="456"/>
      <c r="IF120" s="456"/>
      <c r="IG120" s="456"/>
      <c r="IH120" s="456"/>
      <c r="II120" s="456"/>
      <c r="IJ120" s="456"/>
      <c r="IK120" s="456"/>
      <c r="IL120" s="456"/>
      <c r="IM120" s="456"/>
      <c r="IN120" s="457"/>
      <c r="IO120" s="457"/>
      <c r="IP120" s="456"/>
      <c r="IQ120" s="456"/>
      <c r="IR120" s="456"/>
      <c r="IS120" s="456"/>
      <c r="IT120" s="456"/>
      <c r="IU120" s="456"/>
      <c r="IV120" s="456"/>
      <c r="IW120" s="456"/>
      <c r="IX120" s="456"/>
      <c r="IY120" s="456"/>
      <c r="IZ120" s="456"/>
      <c r="JA120" s="456"/>
      <c r="JB120" s="456"/>
      <c r="JC120" s="456"/>
      <c r="JD120" s="456"/>
      <c r="JE120" s="456"/>
      <c r="JF120" s="456"/>
      <c r="JG120" s="456"/>
      <c r="JH120" s="456"/>
      <c r="JI120" s="456"/>
      <c r="JJ120" s="456"/>
      <c r="JK120" s="456"/>
      <c r="JL120" s="456"/>
      <c r="JM120" s="456"/>
      <c r="JN120" s="456"/>
      <c r="JO120" s="456"/>
      <c r="JP120" s="456"/>
      <c r="JQ120" s="456"/>
      <c r="JR120" s="456"/>
      <c r="JS120" s="456"/>
      <c r="JT120" s="456"/>
      <c r="JU120" s="456"/>
      <c r="JV120" s="456"/>
      <c r="JW120" s="456"/>
      <c r="JX120" s="456"/>
      <c r="JY120" s="456"/>
      <c r="JZ120" s="456"/>
      <c r="KA120" s="456"/>
      <c r="KB120" s="456"/>
      <c r="KC120" s="456"/>
      <c r="KD120" s="456"/>
      <c r="KE120" s="456"/>
      <c r="KF120" s="456"/>
    </row>
    <row r="121" spans="1:292" ht="70" hidden="1" customHeight="1">
      <c r="A121" s="170" t="s">
        <v>396</v>
      </c>
      <c r="B121" s="334">
        <v>63</v>
      </c>
      <c r="C121" s="334"/>
      <c r="D121" s="334"/>
      <c r="E121" s="334"/>
      <c r="F121" s="331" t="s">
        <v>369</v>
      </c>
      <c r="G121" s="78" t="s">
        <v>234</v>
      </c>
      <c r="H121" s="78"/>
      <c r="I121" s="69" t="s">
        <v>162</v>
      </c>
      <c r="J121" s="155" t="s">
        <v>397</v>
      </c>
      <c r="K121" s="244" t="s">
        <v>270</v>
      </c>
      <c r="L121" s="78" t="s">
        <v>55</v>
      </c>
      <c r="M121" s="33">
        <v>46322</v>
      </c>
      <c r="N121" s="42">
        <v>46542</v>
      </c>
      <c r="O121" s="33">
        <v>46548</v>
      </c>
      <c r="P121" s="628">
        <f t="shared" si="38"/>
        <v>46523</v>
      </c>
      <c r="Q121" s="628">
        <f t="shared" si="40"/>
        <v>46719</v>
      </c>
      <c r="R121" s="628">
        <f t="shared" si="39"/>
        <v>157</v>
      </c>
      <c r="S121" s="87"/>
      <c r="T121" s="585">
        <f t="shared" si="37"/>
        <v>47113</v>
      </c>
      <c r="U121" s="364">
        <f t="shared" si="29"/>
        <v>565</v>
      </c>
      <c r="V121" s="272"/>
      <c r="W121" s="452" t="s">
        <v>508</v>
      </c>
      <c r="X121" s="465"/>
      <c r="Y121" s="465"/>
      <c r="Z121" s="465"/>
      <c r="AA121" s="465"/>
      <c r="AB121" s="465"/>
      <c r="AC121" s="465"/>
      <c r="AD121" s="465"/>
      <c r="AE121" s="465"/>
      <c r="AF121" s="465"/>
      <c r="AG121" s="340"/>
      <c r="AH121" s="465"/>
      <c r="AI121" s="465"/>
      <c r="AJ121" s="457"/>
      <c r="AK121" s="457"/>
      <c r="AL121" s="465"/>
      <c r="AM121" s="465"/>
      <c r="AN121" s="465"/>
      <c r="AO121" s="465"/>
      <c r="AP121" s="465"/>
      <c r="AQ121" s="465"/>
      <c r="AR121" s="465"/>
      <c r="AS121" s="7"/>
      <c r="AT121" s="7"/>
      <c r="AU121" s="456"/>
      <c r="AV121" s="340"/>
      <c r="AW121" s="465"/>
      <c r="AX121" s="456"/>
      <c r="AY121" s="465"/>
      <c r="AZ121" s="465"/>
      <c r="BA121" s="465"/>
      <c r="BB121" s="465"/>
      <c r="BC121" s="465"/>
      <c r="BD121" s="465"/>
      <c r="BE121" s="465"/>
      <c r="BF121" s="590"/>
      <c r="BG121" s="465"/>
      <c r="BH121" s="465"/>
      <c r="BI121" s="465"/>
      <c r="BJ121" s="465"/>
      <c r="BK121" s="465"/>
      <c r="BL121" s="465"/>
      <c r="BM121" s="465"/>
      <c r="BN121" s="465"/>
      <c r="BO121" s="465"/>
      <c r="BP121" s="465"/>
      <c r="BQ121" s="465"/>
      <c r="BR121" s="465"/>
      <c r="BS121" s="465"/>
      <c r="BT121" s="465"/>
      <c r="BU121" s="465"/>
      <c r="BV121" s="7"/>
      <c r="BW121" s="7"/>
      <c r="BX121" s="456"/>
      <c r="BY121" s="456"/>
      <c r="BZ121" s="456"/>
      <c r="CA121" s="7"/>
      <c r="CB121" s="465"/>
      <c r="CC121" s="465"/>
      <c r="CD121" s="465"/>
      <c r="CE121" s="465"/>
      <c r="CF121" s="7"/>
      <c r="CG121" s="7"/>
      <c r="CH121" s="465"/>
      <c r="CI121" s="7"/>
      <c r="CJ121" s="7"/>
      <c r="CK121" s="465"/>
      <c r="CL121" s="465"/>
      <c r="CM121" s="457"/>
      <c r="CN121" s="457"/>
      <c r="CO121" s="456"/>
      <c r="CP121" s="465"/>
      <c r="CQ121" s="465"/>
      <c r="CR121" s="465"/>
      <c r="CS121" s="7"/>
      <c r="CT121" s="7"/>
      <c r="CU121" s="465"/>
      <c r="CV121" s="465"/>
      <c r="CW121" s="456"/>
      <c r="CX121" s="465"/>
      <c r="CY121" s="465"/>
      <c r="CZ121" s="590"/>
      <c r="DA121" s="465"/>
      <c r="DB121" s="465"/>
      <c r="DC121" s="465"/>
      <c r="DD121" s="465"/>
      <c r="DE121" s="456"/>
      <c r="DF121" s="465"/>
      <c r="DG121" s="465"/>
      <c r="DH121" s="465"/>
      <c r="DI121" s="465"/>
      <c r="DJ121" s="465"/>
      <c r="DK121" s="465"/>
      <c r="DL121" s="465"/>
      <c r="DM121" s="465"/>
      <c r="DN121" s="465"/>
      <c r="DO121" s="465"/>
      <c r="DP121" s="456"/>
      <c r="DQ121" s="456"/>
      <c r="DR121" s="465"/>
      <c r="DS121" s="465"/>
      <c r="DT121" s="465"/>
      <c r="DU121" s="465"/>
      <c r="DV121" s="465"/>
      <c r="DW121" s="590"/>
      <c r="DX121" s="465"/>
      <c r="DY121" s="465"/>
      <c r="DZ121" s="465"/>
      <c r="EA121" s="465"/>
      <c r="EB121" s="456"/>
      <c r="EC121" s="456"/>
      <c r="ED121" s="456"/>
      <c r="EE121" s="456"/>
      <c r="EF121" s="456"/>
      <c r="EG121" s="456"/>
      <c r="EH121" s="456"/>
      <c r="EI121" s="549"/>
      <c r="EJ121" s="456"/>
      <c r="EK121" s="456"/>
      <c r="EL121" s="465"/>
      <c r="EM121" s="457"/>
      <c r="EN121" s="457"/>
      <c r="EO121" s="465"/>
      <c r="EP121" s="465"/>
      <c r="EQ121" s="465"/>
      <c r="ER121" s="465"/>
      <c r="ES121" s="465"/>
      <c r="ET121" s="465"/>
      <c r="EU121" s="465"/>
      <c r="EV121" s="465"/>
      <c r="EW121" s="465"/>
      <c r="EX121" s="465"/>
      <c r="EY121" s="465"/>
      <c r="EZ121" s="465"/>
      <c r="FA121" s="465"/>
      <c r="FB121" s="465"/>
      <c r="FC121" s="465"/>
      <c r="FD121" s="465"/>
      <c r="FE121" s="465"/>
      <c r="FF121" s="465"/>
      <c r="FG121" s="465"/>
      <c r="FH121" s="465"/>
      <c r="FI121" s="465"/>
      <c r="FJ121" s="465"/>
      <c r="FK121" s="590"/>
      <c r="FL121" s="465"/>
      <c r="FM121" s="465"/>
      <c r="FN121" s="465"/>
      <c r="FO121" s="465"/>
      <c r="FP121" s="465"/>
      <c r="FQ121" s="465"/>
      <c r="FR121" s="465"/>
      <c r="FS121" s="465"/>
      <c r="FT121" s="465"/>
      <c r="FU121" s="465"/>
      <c r="FV121" s="465"/>
      <c r="FW121" s="465"/>
      <c r="FX121" s="465"/>
      <c r="FY121" s="465"/>
      <c r="FZ121" s="465"/>
      <c r="GA121" s="505" t="s">
        <v>324</v>
      </c>
      <c r="GB121" s="505"/>
      <c r="GC121" s="505"/>
      <c r="GD121" s="505"/>
      <c r="GE121" s="505"/>
      <c r="GF121" s="505"/>
      <c r="GG121" s="603" t="s">
        <v>325</v>
      </c>
      <c r="GH121" s="603"/>
      <c r="GI121" s="603"/>
      <c r="GJ121" s="457"/>
      <c r="GK121" s="457"/>
      <c r="GL121" s="603"/>
      <c r="GO121" s="601" t="s">
        <v>272</v>
      </c>
      <c r="GP121" s="601"/>
      <c r="GQ121" s="601"/>
      <c r="GR121" s="601"/>
      <c r="GS121" s="601"/>
      <c r="GT121" s="602" t="s">
        <v>282</v>
      </c>
      <c r="GU121" s="598" t="s">
        <v>265</v>
      </c>
      <c r="GV121" s="598"/>
      <c r="GW121" s="598"/>
      <c r="GX121" s="598"/>
      <c r="GY121" s="598"/>
      <c r="GZ121" s="598"/>
      <c r="HA121" s="596" t="s">
        <v>261</v>
      </c>
      <c r="HB121" s="596"/>
      <c r="HC121" s="596"/>
      <c r="HD121" s="596"/>
      <c r="HE121" s="596"/>
      <c r="HF121" s="596"/>
      <c r="HG121" s="471" t="s">
        <v>77</v>
      </c>
      <c r="HH121" s="471"/>
      <c r="HI121" s="471"/>
      <c r="HJ121" s="471"/>
      <c r="HK121" s="471"/>
      <c r="HL121" s="471"/>
      <c r="HM121" s="473" t="s">
        <v>66</v>
      </c>
      <c r="HN121" s="473"/>
      <c r="HO121" s="473"/>
      <c r="HP121" s="473"/>
      <c r="HQ121" s="473"/>
      <c r="HR121" s="473"/>
      <c r="HS121" s="592" t="s">
        <v>247</v>
      </c>
      <c r="HT121" s="592"/>
      <c r="HU121" s="592"/>
      <c r="HV121" s="592"/>
      <c r="HW121" s="592"/>
      <c r="HX121" s="592"/>
      <c r="HY121" s="591" t="s">
        <v>242</v>
      </c>
      <c r="HZ121" s="591"/>
      <c r="IA121" s="591"/>
      <c r="IB121" s="591"/>
      <c r="IC121" s="591"/>
      <c r="ID121" s="591"/>
      <c r="IE121" s="3" t="s">
        <v>238</v>
      </c>
      <c r="IF121" s="3" t="s">
        <v>243</v>
      </c>
      <c r="IG121" s="456"/>
      <c r="IH121" s="456"/>
      <c r="II121" s="456"/>
      <c r="IJ121" s="456"/>
      <c r="IK121" s="456"/>
      <c r="IL121" s="456"/>
      <c r="IM121" s="456"/>
      <c r="IN121" s="457"/>
      <c r="IO121" s="457"/>
      <c r="IP121" s="456"/>
      <c r="IQ121" s="456"/>
      <c r="IR121" s="456"/>
      <c r="IS121" s="456"/>
      <c r="IT121" s="456"/>
      <c r="IU121" s="456"/>
      <c r="IV121" s="456"/>
      <c r="IW121" s="456"/>
      <c r="IX121" s="456"/>
      <c r="IY121" s="456"/>
      <c r="IZ121" s="456"/>
      <c r="JA121" s="456"/>
      <c r="JB121" s="456"/>
      <c r="JC121" s="456"/>
      <c r="JD121" s="456"/>
      <c r="JE121" s="456"/>
      <c r="JF121" s="456"/>
      <c r="JG121" s="456"/>
      <c r="JH121" s="456"/>
      <c r="JI121" s="456"/>
      <c r="JJ121" s="456"/>
      <c r="JK121" s="456"/>
      <c r="JL121" s="456"/>
      <c r="JM121" s="456"/>
      <c r="JN121" s="456"/>
      <c r="JO121" s="456"/>
      <c r="JP121" s="456"/>
      <c r="JQ121" s="456"/>
      <c r="JR121" s="456"/>
      <c r="JS121" s="456"/>
      <c r="JT121" s="456"/>
      <c r="JU121" s="456"/>
      <c r="JV121" s="456"/>
      <c r="JW121" s="456"/>
      <c r="JX121" s="456"/>
      <c r="JY121" s="456"/>
      <c r="JZ121" s="456"/>
      <c r="KA121" s="456"/>
      <c r="KB121" s="456"/>
      <c r="KC121" s="456"/>
      <c r="KD121" s="456"/>
      <c r="KE121" s="456"/>
      <c r="KF121" s="456"/>
    </row>
    <row r="122" spans="1:292" ht="70" hidden="1" customHeight="1">
      <c r="A122" s="170" t="s">
        <v>398</v>
      </c>
      <c r="B122" s="334">
        <v>64</v>
      </c>
      <c r="C122" s="334"/>
      <c r="D122" s="334"/>
      <c r="E122" s="334"/>
      <c r="F122" s="331" t="s">
        <v>369</v>
      </c>
      <c r="G122" s="78" t="s">
        <v>234</v>
      </c>
      <c r="H122" s="78"/>
      <c r="I122" s="69" t="s">
        <v>132</v>
      </c>
      <c r="J122" s="155" t="s">
        <v>399</v>
      </c>
      <c r="K122" s="244" t="s">
        <v>270</v>
      </c>
      <c r="L122" s="78" t="s">
        <v>55</v>
      </c>
      <c r="M122" s="33">
        <v>46355</v>
      </c>
      <c r="N122" s="42" t="s">
        <v>400</v>
      </c>
      <c r="O122" s="33">
        <v>46559</v>
      </c>
      <c r="P122" s="628">
        <f t="shared" si="38"/>
        <v>46551</v>
      </c>
      <c r="Q122" s="628">
        <f t="shared" si="40"/>
        <v>46747</v>
      </c>
      <c r="R122" s="628">
        <f t="shared" si="39"/>
        <v>185</v>
      </c>
      <c r="S122" s="58"/>
      <c r="T122" s="585">
        <f t="shared" si="37"/>
        <v>47155</v>
      </c>
      <c r="U122" s="364">
        <f t="shared" si="29"/>
        <v>596</v>
      </c>
      <c r="V122" s="271"/>
      <c r="W122" s="452" t="s">
        <v>508</v>
      </c>
      <c r="X122" s="465"/>
      <c r="Y122" s="465"/>
      <c r="Z122" s="465"/>
      <c r="AA122" s="465"/>
      <c r="AB122" s="465"/>
      <c r="AC122" s="465"/>
      <c r="AD122" s="465"/>
      <c r="AE122" s="465"/>
      <c r="AF122" s="465"/>
      <c r="AG122" s="340"/>
      <c r="AH122" s="465"/>
      <c r="AI122" s="465"/>
      <c r="AJ122" s="457"/>
      <c r="AK122" s="457"/>
      <c r="AL122" s="465"/>
      <c r="AM122" s="465"/>
      <c r="AN122" s="465"/>
      <c r="AO122" s="465"/>
      <c r="AP122" s="465"/>
      <c r="AQ122" s="465"/>
      <c r="AR122" s="465"/>
      <c r="AS122" s="7"/>
      <c r="AT122" s="7"/>
      <c r="AU122" s="456"/>
      <c r="AV122" s="340"/>
      <c r="AW122" s="465"/>
      <c r="AX122" s="456"/>
      <c r="AY122" s="465"/>
      <c r="AZ122" s="465"/>
      <c r="BA122" s="465"/>
      <c r="BB122" s="465"/>
      <c r="BC122" s="465"/>
      <c r="BD122" s="465"/>
      <c r="BE122" s="465"/>
      <c r="BF122" s="590"/>
      <c r="BG122" s="465"/>
      <c r="BH122" s="465"/>
      <c r="BI122" s="465"/>
      <c r="BJ122" s="465"/>
      <c r="BK122" s="465"/>
      <c r="BL122" s="465"/>
      <c r="BM122" s="465"/>
      <c r="BN122" s="465"/>
      <c r="BO122" s="465"/>
      <c r="BP122" s="465"/>
      <c r="BQ122" s="465"/>
      <c r="BR122" s="465"/>
      <c r="BS122" s="465"/>
      <c r="BT122" s="465"/>
      <c r="BU122" s="465"/>
      <c r="BV122" s="7"/>
      <c r="BW122" s="7"/>
      <c r="BX122" s="456"/>
      <c r="BY122" s="456"/>
      <c r="BZ122" s="456"/>
      <c r="CA122" s="7"/>
      <c r="CB122" s="465"/>
      <c r="CC122" s="465"/>
      <c r="CD122" s="465"/>
      <c r="CE122" s="465"/>
      <c r="CF122" s="7"/>
      <c r="CG122" s="7"/>
      <c r="CH122" s="465"/>
      <c r="CI122" s="7"/>
      <c r="CJ122" s="7"/>
      <c r="CK122" s="465"/>
      <c r="CL122" s="465"/>
      <c r="CM122" s="457"/>
      <c r="CN122" s="457"/>
      <c r="CO122" s="456"/>
      <c r="CP122" s="465"/>
      <c r="CQ122" s="465"/>
      <c r="CR122" s="465"/>
      <c r="CS122" s="7"/>
      <c r="CT122" s="7"/>
      <c r="CU122" s="465"/>
      <c r="CV122" s="465"/>
      <c r="CW122" s="456"/>
      <c r="CX122" s="465"/>
      <c r="CY122" s="465"/>
      <c r="CZ122" s="465"/>
      <c r="DA122" s="465"/>
      <c r="DB122" s="465"/>
      <c r="DC122" s="590"/>
      <c r="DD122" s="465"/>
      <c r="DE122" s="456"/>
      <c r="DF122" s="465"/>
      <c r="DG122" s="465"/>
      <c r="DH122" s="465"/>
      <c r="DI122" s="465"/>
      <c r="DJ122" s="465"/>
      <c r="DK122" s="465"/>
      <c r="DL122" s="465"/>
      <c r="DM122" s="465"/>
      <c r="DN122" s="465"/>
      <c r="DO122" s="465"/>
      <c r="DP122" s="456"/>
      <c r="DQ122" s="456"/>
      <c r="DR122" s="465"/>
      <c r="DS122" s="465"/>
      <c r="DT122" s="465"/>
      <c r="DU122" s="465"/>
      <c r="DV122" s="465"/>
      <c r="DW122" s="590"/>
      <c r="DX122" s="465"/>
      <c r="DY122" s="465"/>
      <c r="DZ122" s="465"/>
      <c r="EA122" s="7"/>
      <c r="EB122" s="7"/>
      <c r="EC122" s="465"/>
      <c r="ED122" s="465"/>
      <c r="EE122" s="456"/>
      <c r="EF122" s="456"/>
      <c r="EG122" s="456"/>
      <c r="EH122" s="456"/>
      <c r="EI122" s="456"/>
      <c r="EJ122" s="456"/>
      <c r="EK122" s="549"/>
      <c r="EL122" s="465"/>
      <c r="EM122" s="457"/>
      <c r="EN122" s="457"/>
      <c r="EO122" s="465"/>
      <c r="EP122" s="465"/>
      <c r="EQ122" s="465"/>
      <c r="ER122" s="465"/>
      <c r="ES122" s="465"/>
      <c r="ET122" s="465"/>
      <c r="EU122" s="465"/>
      <c r="EV122" s="465"/>
      <c r="EW122" s="465"/>
      <c r="EX122" s="465"/>
      <c r="EY122" s="465"/>
      <c r="EZ122" s="465"/>
      <c r="FA122" s="465"/>
      <c r="FB122" s="465"/>
      <c r="FC122" s="7"/>
      <c r="FD122" s="465"/>
      <c r="FE122" s="465"/>
      <c r="FF122" s="465"/>
      <c r="FG122" s="465"/>
      <c r="FH122" s="465"/>
      <c r="FI122" s="465"/>
      <c r="FJ122" s="465"/>
      <c r="FK122" s="465"/>
      <c r="FL122" s="465"/>
      <c r="FM122" s="465"/>
      <c r="FN122" s="465"/>
      <c r="FO122" s="590"/>
      <c r="FP122" s="465"/>
      <c r="FQ122" s="465"/>
      <c r="FR122" s="465"/>
      <c r="FS122" s="465"/>
      <c r="FT122" s="465"/>
      <c r="FU122" s="465"/>
      <c r="FV122" s="465"/>
      <c r="FW122" s="465"/>
      <c r="FX122" s="465"/>
      <c r="FY122" s="465"/>
      <c r="FZ122" s="465"/>
      <c r="GA122" s="465"/>
      <c r="GB122" s="465"/>
      <c r="GC122" s="465"/>
      <c r="GD122" s="465"/>
      <c r="GE122" s="465"/>
      <c r="GF122" s="465"/>
      <c r="GG122" s="505" t="s">
        <v>324</v>
      </c>
      <c r="GH122" s="505"/>
      <c r="GI122" s="505"/>
      <c r="GJ122" s="457"/>
      <c r="GK122" s="457"/>
      <c r="GL122" s="505"/>
      <c r="GO122" s="603" t="s">
        <v>325</v>
      </c>
      <c r="GP122" s="603"/>
      <c r="GQ122" s="603"/>
      <c r="GR122" s="603"/>
      <c r="GS122" s="603"/>
      <c r="GT122" s="603"/>
      <c r="GU122" s="601" t="s">
        <v>272</v>
      </c>
      <c r="GV122" s="601"/>
      <c r="GW122" s="601"/>
      <c r="GX122" s="601"/>
      <c r="GY122" s="601"/>
      <c r="GZ122" s="602" t="s">
        <v>282</v>
      </c>
      <c r="HA122" s="598" t="s">
        <v>265</v>
      </c>
      <c r="HB122" s="598"/>
      <c r="HC122" s="598"/>
      <c r="HD122" s="598"/>
      <c r="HE122" s="598"/>
      <c r="HF122" s="598"/>
      <c r="HG122" s="596" t="s">
        <v>261</v>
      </c>
      <c r="HH122" s="596"/>
      <c r="HI122" s="596"/>
      <c r="HJ122" s="596"/>
      <c r="HK122" s="596"/>
      <c r="HL122" s="596"/>
      <c r="HM122" s="471" t="s">
        <v>77</v>
      </c>
      <c r="HN122" s="471"/>
      <c r="HO122" s="471"/>
      <c r="HP122" s="471"/>
      <c r="HQ122" s="471"/>
      <c r="HR122" s="471"/>
      <c r="HS122" s="473" t="s">
        <v>66</v>
      </c>
      <c r="HT122" s="473"/>
      <c r="HU122" s="473"/>
      <c r="HV122" s="473"/>
      <c r="HW122" s="473"/>
      <c r="HX122" s="473"/>
      <c r="HY122" s="592" t="s">
        <v>247</v>
      </c>
      <c r="HZ122" s="592"/>
      <c r="IA122" s="592"/>
      <c r="IB122" s="592"/>
      <c r="IC122" s="592"/>
      <c r="ID122" s="592"/>
      <c r="IE122" s="591" t="s">
        <v>242</v>
      </c>
      <c r="IF122" s="591"/>
      <c r="IG122" s="591"/>
      <c r="IH122" s="591"/>
      <c r="II122" s="591"/>
      <c r="IJ122" s="591"/>
      <c r="IK122" s="3" t="s">
        <v>238</v>
      </c>
      <c r="IL122" s="3" t="s">
        <v>243</v>
      </c>
      <c r="IM122" s="456"/>
      <c r="IN122" s="457"/>
      <c r="IO122" s="457"/>
      <c r="IP122" s="456"/>
      <c r="IQ122" s="456"/>
      <c r="IR122" s="456"/>
      <c r="IS122" s="456"/>
      <c r="IT122" s="456"/>
      <c r="IU122" s="456"/>
      <c r="IV122" s="456"/>
      <c r="IW122" s="456"/>
      <c r="IX122" s="456"/>
      <c r="IY122" s="456"/>
      <c r="IZ122" s="456"/>
      <c r="JA122" s="456"/>
      <c r="JB122" s="456"/>
      <c r="JC122" s="456"/>
      <c r="JD122" s="456"/>
      <c r="JE122" s="456"/>
      <c r="JF122" s="456"/>
      <c r="JG122" s="456"/>
      <c r="JH122" s="456"/>
      <c r="JI122" s="456"/>
      <c r="JJ122" s="456"/>
      <c r="JK122" s="456"/>
      <c r="JL122" s="456"/>
      <c r="JM122" s="456"/>
      <c r="JN122" s="456"/>
      <c r="JO122" s="456"/>
      <c r="JP122" s="456"/>
      <c r="JQ122" s="456"/>
      <c r="JR122" s="456"/>
      <c r="JS122" s="456"/>
      <c r="JT122" s="456"/>
      <c r="JU122" s="456"/>
      <c r="JV122" s="456"/>
      <c r="JW122" s="456"/>
      <c r="JX122" s="456"/>
      <c r="JY122" s="456"/>
      <c r="JZ122" s="456"/>
      <c r="KA122" s="456"/>
      <c r="KB122" s="456"/>
      <c r="KC122" s="456"/>
      <c r="KD122" s="456"/>
      <c r="KE122" s="456"/>
      <c r="KF122" s="456"/>
    </row>
    <row r="123" spans="1:292" ht="70" hidden="1" customHeight="1">
      <c r="A123" s="170" t="s">
        <v>401</v>
      </c>
      <c r="B123" s="334">
        <v>65</v>
      </c>
      <c r="C123" s="334"/>
      <c r="D123" s="334"/>
      <c r="E123" s="334"/>
      <c r="F123" s="331" t="s">
        <v>369</v>
      </c>
      <c r="G123" s="78" t="s">
        <v>234</v>
      </c>
      <c r="H123" s="78"/>
      <c r="I123" s="70" t="s">
        <v>38</v>
      </c>
      <c r="J123" s="463" t="s">
        <v>402</v>
      </c>
      <c r="K123" s="246"/>
      <c r="L123" s="78" t="s">
        <v>55</v>
      </c>
      <c r="M123" s="33">
        <v>46369</v>
      </c>
      <c r="N123" s="36">
        <v>46538</v>
      </c>
      <c r="O123" s="33">
        <v>46573</v>
      </c>
      <c r="P123" s="628">
        <f t="shared" si="38"/>
        <v>46579</v>
      </c>
      <c r="Q123" s="628">
        <f t="shared" si="40"/>
        <v>46775</v>
      </c>
      <c r="R123" s="628">
        <f t="shared" si="40"/>
        <v>213</v>
      </c>
      <c r="S123" s="58"/>
      <c r="T123" s="585">
        <f t="shared" si="37"/>
        <v>47197</v>
      </c>
      <c r="U123" s="364">
        <f t="shared" si="29"/>
        <v>624</v>
      </c>
      <c r="V123" s="271"/>
      <c r="W123" s="452" t="s">
        <v>508</v>
      </c>
      <c r="X123" s="465"/>
      <c r="Y123" s="465"/>
      <c r="Z123" s="465"/>
      <c r="AA123" s="465"/>
      <c r="AB123" s="465"/>
      <c r="AC123" s="465"/>
      <c r="AD123" s="465"/>
      <c r="AE123" s="465"/>
      <c r="AF123" s="465"/>
      <c r="AG123" s="340"/>
      <c r="AH123" s="465"/>
      <c r="AI123" s="465"/>
      <c r="AJ123" s="457"/>
      <c r="AK123" s="457"/>
      <c r="AL123" s="465"/>
      <c r="AM123" s="465"/>
      <c r="AN123" s="465"/>
      <c r="AO123" s="465"/>
      <c r="AP123" s="465"/>
      <c r="AQ123" s="465"/>
      <c r="AR123" s="465"/>
      <c r="AS123" s="7"/>
      <c r="AT123" s="7"/>
      <c r="AU123" s="456"/>
      <c r="AV123" s="340"/>
      <c r="AW123" s="465"/>
      <c r="AX123" s="456"/>
      <c r="AY123" s="465"/>
      <c r="AZ123" s="465"/>
      <c r="BA123" s="465"/>
      <c r="BB123" s="465"/>
      <c r="BC123" s="465"/>
      <c r="BD123" s="465"/>
      <c r="BE123" s="465"/>
      <c r="BF123" s="590"/>
      <c r="BG123" s="465"/>
      <c r="BH123" s="465"/>
      <c r="BI123" s="465"/>
      <c r="BJ123" s="465"/>
      <c r="BK123" s="465"/>
      <c r="BL123" s="465"/>
      <c r="BM123" s="465"/>
      <c r="BN123" s="465"/>
      <c r="BO123" s="465"/>
      <c r="BP123" s="465"/>
      <c r="BQ123" s="465"/>
      <c r="BR123" s="465"/>
      <c r="BS123" s="465"/>
      <c r="BT123" s="465"/>
      <c r="BU123" s="465"/>
      <c r="BV123" s="7"/>
      <c r="BW123" s="7"/>
      <c r="BX123" s="456"/>
      <c r="BY123" s="456"/>
      <c r="BZ123" s="456"/>
      <c r="CA123" s="7"/>
      <c r="CB123" s="465"/>
      <c r="CC123" s="465"/>
      <c r="CD123" s="465"/>
      <c r="CE123" s="465"/>
      <c r="CF123" s="7"/>
      <c r="CG123" s="7"/>
      <c r="CH123" s="465"/>
      <c r="CI123" s="7"/>
      <c r="CJ123" s="7"/>
      <c r="CK123" s="465"/>
      <c r="CL123" s="465"/>
      <c r="CM123" s="457"/>
      <c r="CN123" s="457"/>
      <c r="CO123" s="456"/>
      <c r="CP123" s="465"/>
      <c r="CQ123" s="465"/>
      <c r="CR123" s="465"/>
      <c r="CS123" s="7"/>
      <c r="CT123" s="7"/>
      <c r="CU123" s="465"/>
      <c r="CV123" s="465"/>
      <c r="CW123" s="456"/>
      <c r="CX123" s="465"/>
      <c r="CY123" s="465"/>
      <c r="CZ123" s="465"/>
      <c r="DA123" s="465"/>
      <c r="DB123" s="465"/>
      <c r="DC123" s="590"/>
      <c r="DD123" s="465"/>
      <c r="DE123" s="456"/>
      <c r="DF123" s="465"/>
      <c r="DG123" s="465"/>
      <c r="DH123" s="465"/>
      <c r="DI123" s="465"/>
      <c r="DJ123" s="465"/>
      <c r="DK123" s="465"/>
      <c r="DL123" s="465"/>
      <c r="DM123" s="465"/>
      <c r="DN123" s="465"/>
      <c r="DO123" s="465"/>
      <c r="DP123" s="456"/>
      <c r="DQ123" s="456"/>
      <c r="DR123" s="465"/>
      <c r="DS123" s="465"/>
      <c r="DT123" s="465"/>
      <c r="DU123" s="465"/>
      <c r="DV123" s="465"/>
      <c r="DW123" s="590"/>
      <c r="DX123" s="465"/>
      <c r="DY123" s="465"/>
      <c r="DZ123" s="465"/>
      <c r="EA123" s="465"/>
      <c r="EB123" s="465"/>
      <c r="EC123" s="465"/>
      <c r="ED123" s="465"/>
      <c r="EE123" s="465"/>
      <c r="EF123" s="465"/>
      <c r="EG123" s="456"/>
      <c r="EH123" s="456"/>
      <c r="EI123" s="456"/>
      <c r="EJ123" s="456"/>
      <c r="EK123" s="456"/>
      <c r="EL123" s="465"/>
      <c r="EM123" s="457"/>
      <c r="EN123" s="457"/>
      <c r="EO123" s="465"/>
      <c r="EP123" s="590"/>
      <c r="EQ123" s="465"/>
      <c r="ER123" s="465"/>
      <c r="ES123" s="465"/>
      <c r="ET123" s="465"/>
      <c r="EU123" s="465"/>
      <c r="EV123" s="465"/>
      <c r="EW123" s="465"/>
      <c r="EX123" s="465"/>
      <c r="EY123" s="465"/>
      <c r="EZ123" s="465"/>
      <c r="FA123" s="465"/>
      <c r="FB123" s="465"/>
      <c r="FC123" s="465"/>
      <c r="FD123" s="465"/>
      <c r="FE123" s="465"/>
      <c r="FF123" s="7"/>
      <c r="FG123" s="7"/>
      <c r="FH123" s="465"/>
      <c r="FI123" s="465"/>
      <c r="FJ123" s="465"/>
      <c r="FK123" s="465"/>
      <c r="FL123" s="465"/>
      <c r="FM123" s="465"/>
      <c r="FN123" s="465"/>
      <c r="FO123" s="465"/>
      <c r="FP123" s="465"/>
      <c r="FQ123" s="465"/>
      <c r="FR123" s="465"/>
      <c r="FS123" s="590"/>
      <c r="FT123" s="465"/>
      <c r="FU123" s="465"/>
      <c r="FV123" s="465"/>
      <c r="FW123" s="465"/>
      <c r="FX123" s="465"/>
      <c r="FY123" s="465"/>
      <c r="FZ123" s="465"/>
      <c r="GA123" s="465"/>
      <c r="GB123" s="465"/>
      <c r="GC123" s="465"/>
      <c r="GD123" s="465"/>
      <c r="GE123" s="465"/>
      <c r="GF123" s="465"/>
      <c r="GG123" s="465"/>
      <c r="GH123" s="465"/>
      <c r="GI123" s="465"/>
      <c r="GJ123" s="457"/>
      <c r="GK123" s="457"/>
      <c r="GL123" s="465"/>
      <c r="GO123" s="505" t="s">
        <v>324</v>
      </c>
      <c r="GP123" s="505"/>
      <c r="GQ123" s="505"/>
      <c r="GR123" s="505"/>
      <c r="GS123" s="505"/>
      <c r="GT123" s="505"/>
      <c r="GU123" s="603" t="s">
        <v>325</v>
      </c>
      <c r="GV123" s="603"/>
      <c r="GW123" s="603"/>
      <c r="GX123" s="603"/>
      <c r="GY123" s="603"/>
      <c r="GZ123" s="603"/>
      <c r="HA123" s="601" t="s">
        <v>272</v>
      </c>
      <c r="HB123" s="601"/>
      <c r="HC123" s="601"/>
      <c r="HD123" s="601"/>
      <c r="HE123" s="601"/>
      <c r="HF123" s="602" t="s">
        <v>282</v>
      </c>
      <c r="HG123" s="598" t="s">
        <v>265</v>
      </c>
      <c r="HH123" s="598"/>
      <c r="HI123" s="598"/>
      <c r="HJ123" s="598"/>
      <c r="HK123" s="598"/>
      <c r="HL123" s="598"/>
      <c r="HM123" s="596" t="s">
        <v>261</v>
      </c>
      <c r="HN123" s="596"/>
      <c r="HO123" s="596"/>
      <c r="HP123" s="596"/>
      <c r="HQ123" s="596"/>
      <c r="HR123" s="596"/>
      <c r="HS123" s="471" t="s">
        <v>77</v>
      </c>
      <c r="HT123" s="471"/>
      <c r="HU123" s="471"/>
      <c r="HV123" s="471"/>
      <c r="HW123" s="471"/>
      <c r="HX123" s="471"/>
      <c r="HY123" s="473" t="s">
        <v>66</v>
      </c>
      <c r="HZ123" s="473"/>
      <c r="IA123" s="473"/>
      <c r="IB123" s="473"/>
      <c r="IC123" s="473"/>
      <c r="ID123" s="473"/>
      <c r="IE123" s="592" t="s">
        <v>247</v>
      </c>
      <c r="IF123" s="592"/>
      <c r="IG123" s="592"/>
      <c r="IH123" s="592"/>
      <c r="II123" s="592"/>
      <c r="IJ123" s="592"/>
      <c r="IK123" s="591" t="s">
        <v>242</v>
      </c>
      <c r="IL123" s="591"/>
      <c r="IM123" s="591"/>
      <c r="IN123" s="457"/>
      <c r="IO123" s="457"/>
      <c r="IP123" s="591"/>
      <c r="IQ123" s="591"/>
      <c r="IR123" s="591"/>
      <c r="IS123" s="3" t="s">
        <v>238</v>
      </c>
      <c r="IT123" s="3" t="s">
        <v>243</v>
      </c>
      <c r="IU123" s="456"/>
      <c r="IV123" s="456"/>
      <c r="IW123" s="456"/>
      <c r="IX123" s="456"/>
      <c r="IY123" s="456"/>
      <c r="IZ123" s="456"/>
      <c r="JA123" s="456"/>
      <c r="JB123" s="456"/>
      <c r="JC123" s="456"/>
      <c r="JD123" s="456"/>
      <c r="JE123" s="456"/>
      <c r="JF123" s="456"/>
      <c r="JG123" s="456"/>
      <c r="JH123" s="456"/>
      <c r="JI123" s="456"/>
      <c r="JJ123" s="456"/>
      <c r="JK123" s="456"/>
      <c r="JL123" s="456"/>
      <c r="JM123" s="456"/>
      <c r="JN123" s="456"/>
      <c r="JO123" s="456"/>
      <c r="JP123" s="456"/>
      <c r="JQ123" s="456"/>
      <c r="JR123" s="456"/>
      <c r="JS123" s="456"/>
      <c r="JT123" s="456"/>
      <c r="JU123" s="456"/>
      <c r="JV123" s="456"/>
      <c r="JW123" s="456"/>
      <c r="JX123" s="456"/>
      <c r="JY123" s="456"/>
      <c r="JZ123" s="456"/>
      <c r="KA123" s="456"/>
      <c r="KB123" s="456"/>
      <c r="KC123" s="456"/>
      <c r="KD123" s="456"/>
      <c r="KE123" s="456"/>
      <c r="KF123" s="456"/>
    </row>
    <row r="124" spans="1:292" ht="70" hidden="1" customHeight="1">
      <c r="A124" s="170" t="s">
        <v>403</v>
      </c>
      <c r="B124" s="334">
        <v>66</v>
      </c>
      <c r="C124" s="334"/>
      <c r="D124" s="334"/>
      <c r="E124" s="334"/>
      <c r="F124" s="331" t="s">
        <v>369</v>
      </c>
      <c r="G124" s="78" t="s">
        <v>234</v>
      </c>
      <c r="H124" s="78"/>
      <c r="I124" s="70" t="s">
        <v>38</v>
      </c>
      <c r="J124" s="463" t="s">
        <v>404</v>
      </c>
      <c r="K124" s="246"/>
      <c r="L124" s="78" t="s">
        <v>55</v>
      </c>
      <c r="M124" s="33">
        <v>46366</v>
      </c>
      <c r="N124" s="36">
        <v>46556</v>
      </c>
      <c r="O124" s="33">
        <v>46591</v>
      </c>
      <c r="P124" s="628">
        <f t="shared" si="38"/>
        <v>46607</v>
      </c>
      <c r="Q124" s="628">
        <f t="shared" si="40"/>
        <v>46803</v>
      </c>
      <c r="R124" s="628">
        <f t="shared" si="40"/>
        <v>241</v>
      </c>
      <c r="S124" s="595"/>
      <c r="T124" s="585">
        <f t="shared" si="37"/>
        <v>47239</v>
      </c>
      <c r="U124" s="364">
        <f t="shared" si="29"/>
        <v>648</v>
      </c>
      <c r="V124" s="271"/>
      <c r="W124" s="452" t="s">
        <v>508</v>
      </c>
      <c r="X124" s="465"/>
      <c r="Y124" s="465"/>
      <c r="Z124" s="465"/>
      <c r="AA124" s="465"/>
      <c r="AB124" s="465"/>
      <c r="AC124" s="465"/>
      <c r="AD124" s="465"/>
      <c r="AE124" s="465"/>
      <c r="AF124" s="465"/>
      <c r="AG124" s="340"/>
      <c r="AH124" s="465"/>
      <c r="AI124" s="465"/>
      <c r="AJ124" s="457"/>
      <c r="AK124" s="457"/>
      <c r="AL124" s="465"/>
      <c r="AM124" s="465"/>
      <c r="AN124" s="465"/>
      <c r="AO124" s="465"/>
      <c r="AP124" s="465"/>
      <c r="AQ124" s="465"/>
      <c r="AR124" s="465"/>
      <c r="AS124" s="7"/>
      <c r="AT124" s="7"/>
      <c r="AU124" s="456"/>
      <c r="AV124" s="340"/>
      <c r="AW124" s="465"/>
      <c r="AX124" s="456"/>
      <c r="AY124" s="465"/>
      <c r="AZ124" s="465"/>
      <c r="BA124" s="465"/>
      <c r="BB124" s="465"/>
      <c r="BC124" s="465"/>
      <c r="BD124" s="465"/>
      <c r="BE124" s="465"/>
      <c r="BF124" s="590"/>
      <c r="BG124" s="465"/>
      <c r="BH124" s="465"/>
      <c r="BI124" s="465"/>
      <c r="BJ124" s="465"/>
      <c r="BK124" s="465"/>
      <c r="BL124" s="465"/>
      <c r="BM124" s="465"/>
      <c r="BN124" s="465"/>
      <c r="BO124" s="465"/>
      <c r="BP124" s="465"/>
      <c r="BQ124" s="465"/>
      <c r="BR124" s="465"/>
      <c r="BS124" s="465"/>
      <c r="BT124" s="465"/>
      <c r="BU124" s="465"/>
      <c r="BV124" s="7"/>
      <c r="BW124" s="7"/>
      <c r="BX124" s="456"/>
      <c r="BY124" s="456"/>
      <c r="BZ124" s="456"/>
      <c r="CA124" s="7"/>
      <c r="CB124" s="465"/>
      <c r="CC124" s="465"/>
      <c r="CD124" s="465"/>
      <c r="CE124" s="465"/>
      <c r="CF124" s="7"/>
      <c r="CG124" s="7"/>
      <c r="CH124" s="465"/>
      <c r="CI124" s="7"/>
      <c r="CJ124" s="7"/>
      <c r="CK124" s="465"/>
      <c r="CL124" s="465"/>
      <c r="CM124" s="457"/>
      <c r="CN124" s="457"/>
      <c r="CO124" s="456"/>
      <c r="CP124" s="465"/>
      <c r="CQ124" s="465"/>
      <c r="CR124" s="465"/>
      <c r="CS124" s="7"/>
      <c r="CT124" s="7"/>
      <c r="CU124" s="465"/>
      <c r="CV124" s="465"/>
      <c r="CW124" s="456"/>
      <c r="CX124" s="465"/>
      <c r="CY124" s="465"/>
      <c r="CZ124" s="465"/>
      <c r="DA124" s="465"/>
      <c r="DB124" s="465"/>
      <c r="DC124" s="590"/>
      <c r="DD124" s="465"/>
      <c r="DE124" s="456"/>
      <c r="DF124" s="465"/>
      <c r="DG124" s="465"/>
      <c r="DH124" s="465"/>
      <c r="DI124" s="465"/>
      <c r="DJ124" s="465"/>
      <c r="DK124" s="465"/>
      <c r="DL124" s="465"/>
      <c r="DM124" s="465"/>
      <c r="DN124" s="465"/>
      <c r="DO124" s="465"/>
      <c r="DP124" s="456"/>
      <c r="DQ124" s="456"/>
      <c r="DR124" s="465"/>
      <c r="DS124" s="465"/>
      <c r="DT124" s="465"/>
      <c r="DU124" s="465"/>
      <c r="DV124" s="465"/>
      <c r="DW124" s="590"/>
      <c r="DX124" s="465"/>
      <c r="DY124" s="465"/>
      <c r="DZ124" s="465"/>
      <c r="EA124" s="465"/>
      <c r="EB124" s="465"/>
      <c r="EC124" s="465"/>
      <c r="ED124" s="465"/>
      <c r="EE124" s="465"/>
      <c r="EF124" s="7"/>
      <c r="EG124" s="7"/>
      <c r="EH124" s="465"/>
      <c r="EI124" s="465"/>
      <c r="EJ124" s="456"/>
      <c r="EK124" s="456"/>
      <c r="EL124" s="465"/>
      <c r="EM124" s="457"/>
      <c r="EN124" s="457"/>
      <c r="EO124" s="465"/>
      <c r="EP124" s="465"/>
      <c r="EQ124" s="465"/>
      <c r="ER124" s="465"/>
      <c r="ES124" s="465"/>
      <c r="ET124" s="465"/>
      <c r="EU124" s="465"/>
      <c r="EV124" s="465"/>
      <c r="EW124" s="465"/>
      <c r="EX124" s="465"/>
      <c r="EY124" s="465"/>
      <c r="EZ124" s="465"/>
      <c r="FA124" s="465"/>
      <c r="FB124" s="465"/>
      <c r="FC124" s="465"/>
      <c r="FD124" s="465"/>
      <c r="FE124" s="465"/>
      <c r="FF124" s="465"/>
      <c r="FG124" s="465"/>
      <c r="FH124" s="7"/>
      <c r="FI124" s="7"/>
      <c r="FJ124" s="7"/>
      <c r="FK124" s="465"/>
      <c r="FL124" s="465"/>
      <c r="FM124" s="465"/>
      <c r="FN124" s="465"/>
      <c r="FO124" s="465"/>
      <c r="FP124" s="465"/>
      <c r="FQ124" s="465"/>
      <c r="FR124" s="465"/>
      <c r="FS124" s="465"/>
      <c r="FT124" s="465"/>
      <c r="FU124" s="465"/>
      <c r="FV124" s="465"/>
      <c r="FW124" s="590"/>
      <c r="FX124" s="465"/>
      <c r="FY124" s="465"/>
      <c r="FZ124" s="465"/>
      <c r="GA124" s="465"/>
      <c r="GB124" s="465"/>
      <c r="GC124" s="465"/>
      <c r="GD124" s="465"/>
      <c r="GE124" s="465"/>
      <c r="GF124" s="465"/>
      <c r="GG124" s="465"/>
      <c r="GH124" s="465"/>
      <c r="GI124" s="465"/>
      <c r="GJ124" s="457"/>
      <c r="GK124" s="457"/>
      <c r="GL124" s="465"/>
      <c r="GO124" s="465"/>
      <c r="GP124" s="465"/>
      <c r="GQ124" s="465"/>
      <c r="GR124" s="465"/>
      <c r="GS124" s="465"/>
      <c r="GT124" s="465"/>
      <c r="GU124" s="505" t="s">
        <v>324</v>
      </c>
      <c r="GV124" s="505"/>
      <c r="GW124" s="505"/>
      <c r="GX124" s="505"/>
      <c r="GY124" s="505"/>
      <c r="GZ124" s="505"/>
      <c r="HA124" s="603" t="s">
        <v>325</v>
      </c>
      <c r="HB124" s="603"/>
      <c r="HC124" s="603"/>
      <c r="HD124" s="603"/>
      <c r="HE124" s="603"/>
      <c r="HF124" s="603"/>
      <c r="HG124" s="601" t="s">
        <v>272</v>
      </c>
      <c r="HH124" s="601"/>
      <c r="HI124" s="601"/>
      <c r="HJ124" s="601"/>
      <c r="HK124" s="601"/>
      <c r="HL124" s="602" t="s">
        <v>282</v>
      </c>
      <c r="HM124" s="598" t="s">
        <v>265</v>
      </c>
      <c r="HN124" s="598"/>
      <c r="HO124" s="598"/>
      <c r="HP124" s="598"/>
      <c r="HQ124" s="598"/>
      <c r="HR124" s="598"/>
      <c r="HS124" s="596" t="s">
        <v>261</v>
      </c>
      <c r="HT124" s="596"/>
      <c r="HU124" s="596"/>
      <c r="HV124" s="596"/>
      <c r="HW124" s="596"/>
      <c r="HX124" s="596"/>
      <c r="HY124" s="471" t="s">
        <v>77</v>
      </c>
      <c r="HZ124" s="471"/>
      <c r="IA124" s="471"/>
      <c r="IB124" s="471"/>
      <c r="IC124" s="471"/>
      <c r="ID124" s="471"/>
      <c r="IE124" s="473" t="s">
        <v>66</v>
      </c>
      <c r="IF124" s="473"/>
      <c r="IG124" s="473"/>
      <c r="IH124" s="473"/>
      <c r="II124" s="473"/>
      <c r="IJ124" s="473"/>
      <c r="IK124" s="592" t="s">
        <v>247</v>
      </c>
      <c r="IL124" s="592"/>
      <c r="IM124" s="592"/>
      <c r="IN124" s="457"/>
      <c r="IO124" s="457"/>
      <c r="IP124" s="592"/>
      <c r="IQ124" s="592"/>
      <c r="IR124" s="592"/>
      <c r="IS124" s="591" t="s">
        <v>242</v>
      </c>
      <c r="IT124" s="591"/>
      <c r="IU124" s="591"/>
      <c r="IV124" s="591"/>
      <c r="IW124" s="591"/>
      <c r="IX124" s="591"/>
      <c r="IY124" s="3" t="s">
        <v>238</v>
      </c>
      <c r="IZ124" s="3" t="s">
        <v>243</v>
      </c>
      <c r="JA124" s="456"/>
      <c r="JB124" s="456"/>
      <c r="JC124" s="456"/>
      <c r="JD124" s="456"/>
      <c r="JE124" s="456"/>
      <c r="JF124" s="456"/>
      <c r="JG124" s="456"/>
      <c r="JH124" s="456"/>
      <c r="JI124" s="456"/>
      <c r="JJ124" s="456"/>
      <c r="JK124" s="456"/>
      <c r="JL124" s="456"/>
      <c r="JM124" s="456"/>
      <c r="JN124" s="456"/>
      <c r="JO124" s="456"/>
      <c r="JP124" s="456"/>
      <c r="JQ124" s="456"/>
      <c r="JR124" s="456"/>
      <c r="JS124" s="456"/>
      <c r="JT124" s="456"/>
      <c r="JU124" s="456"/>
      <c r="JV124" s="456"/>
      <c r="JW124" s="456"/>
      <c r="JX124" s="456"/>
      <c r="JY124" s="456"/>
      <c r="JZ124" s="456"/>
      <c r="KA124" s="456"/>
      <c r="KB124" s="456"/>
      <c r="KC124" s="456"/>
      <c r="KD124" s="456"/>
      <c r="KE124" s="456"/>
      <c r="KF124" s="456"/>
    </row>
    <row r="125" spans="1:292" ht="70" hidden="1" customHeight="1">
      <c r="A125" s="170" t="s">
        <v>405</v>
      </c>
      <c r="B125" s="334">
        <v>67</v>
      </c>
      <c r="C125" s="334"/>
      <c r="D125" s="334"/>
      <c r="E125" s="334"/>
      <c r="F125" s="331" t="s">
        <v>369</v>
      </c>
      <c r="G125" s="78" t="s">
        <v>234</v>
      </c>
      <c r="H125" s="78"/>
      <c r="I125" s="70" t="s">
        <v>38</v>
      </c>
      <c r="J125" s="463" t="s">
        <v>386</v>
      </c>
      <c r="K125" s="246"/>
      <c r="L125" s="78" t="s">
        <v>55</v>
      </c>
      <c r="M125" s="33">
        <v>46383</v>
      </c>
      <c r="N125" s="36">
        <f t="shared" ref="N125:N127" si="41">N124+17.5</f>
        <v>46573.5</v>
      </c>
      <c r="O125" s="33">
        <v>46587</v>
      </c>
      <c r="P125" s="628">
        <f t="shared" si="38"/>
        <v>46635</v>
      </c>
      <c r="Q125" s="628">
        <f t="shared" si="40"/>
        <v>46831</v>
      </c>
      <c r="R125" s="628">
        <f t="shared" si="40"/>
        <v>269</v>
      </c>
      <c r="S125" s="595"/>
      <c r="T125" s="585">
        <f t="shared" si="37"/>
        <v>47281</v>
      </c>
      <c r="U125" s="364">
        <f t="shared" si="29"/>
        <v>694</v>
      </c>
      <c r="V125" s="271"/>
      <c r="W125" s="452" t="s">
        <v>508</v>
      </c>
      <c r="X125" s="465"/>
      <c r="Y125" s="465"/>
      <c r="Z125" s="465"/>
      <c r="AA125" s="465"/>
      <c r="AB125" s="465"/>
      <c r="AC125" s="465"/>
      <c r="AD125" s="465"/>
      <c r="AE125" s="465"/>
      <c r="AF125" s="465"/>
      <c r="AG125" s="340"/>
      <c r="AH125" s="465"/>
      <c r="AI125" s="465"/>
      <c r="AJ125" s="457"/>
      <c r="AK125" s="457"/>
      <c r="AL125" s="465"/>
      <c r="AM125" s="465"/>
      <c r="AN125" s="465"/>
      <c r="AO125" s="465"/>
      <c r="AP125" s="465"/>
      <c r="AQ125" s="465"/>
      <c r="AR125" s="465"/>
      <c r="AS125" s="7"/>
      <c r="AT125" s="7"/>
      <c r="AU125" s="456"/>
      <c r="AV125" s="340"/>
      <c r="AW125" s="465"/>
      <c r="AX125" s="456"/>
      <c r="AY125" s="465"/>
      <c r="AZ125" s="465"/>
      <c r="BA125" s="465"/>
      <c r="BB125" s="465"/>
      <c r="BC125" s="465"/>
      <c r="BD125" s="465"/>
      <c r="BE125" s="465"/>
      <c r="BF125" s="590"/>
      <c r="BG125" s="465"/>
      <c r="BH125" s="465"/>
      <c r="BI125" s="465"/>
      <c r="BJ125" s="465"/>
      <c r="BK125" s="465"/>
      <c r="BL125" s="465"/>
      <c r="BM125" s="465"/>
      <c r="BN125" s="465"/>
      <c r="BO125" s="465"/>
      <c r="BP125" s="465"/>
      <c r="BQ125" s="465"/>
      <c r="BR125" s="465"/>
      <c r="BS125" s="465"/>
      <c r="BT125" s="465"/>
      <c r="BU125" s="465"/>
      <c r="BV125" s="7"/>
      <c r="BW125" s="7"/>
      <c r="BX125" s="456"/>
      <c r="BY125" s="456"/>
      <c r="BZ125" s="456"/>
      <c r="CA125" s="7"/>
      <c r="CB125" s="465"/>
      <c r="CC125" s="465"/>
      <c r="CD125" s="465"/>
      <c r="CE125" s="465"/>
      <c r="CF125" s="7"/>
      <c r="CG125" s="7"/>
      <c r="CH125" s="465"/>
      <c r="CI125" s="7"/>
      <c r="CJ125" s="7"/>
      <c r="CK125" s="465"/>
      <c r="CL125" s="465"/>
      <c r="CM125" s="457"/>
      <c r="CN125" s="457"/>
      <c r="CO125" s="456"/>
      <c r="CP125" s="465"/>
      <c r="CQ125" s="465"/>
      <c r="CR125" s="465"/>
      <c r="CS125" s="7"/>
      <c r="CT125" s="7"/>
      <c r="CU125" s="465"/>
      <c r="CV125" s="465"/>
      <c r="CW125" s="456"/>
      <c r="CX125" s="465"/>
      <c r="CY125" s="465"/>
      <c r="CZ125" s="465"/>
      <c r="DA125" s="465"/>
      <c r="DB125" s="465"/>
      <c r="DC125" s="590"/>
      <c r="DD125" s="465"/>
      <c r="DE125" s="456"/>
      <c r="DF125" s="465"/>
      <c r="DG125" s="465"/>
      <c r="DH125" s="465"/>
      <c r="DI125" s="465"/>
      <c r="DJ125" s="465"/>
      <c r="DK125" s="465"/>
      <c r="DL125" s="465"/>
      <c r="DM125" s="465"/>
      <c r="DN125" s="465"/>
      <c r="DO125" s="465"/>
      <c r="DP125" s="456"/>
      <c r="DQ125" s="456"/>
      <c r="DR125" s="465"/>
      <c r="DS125" s="465"/>
      <c r="DT125" s="465"/>
      <c r="DU125" s="465"/>
      <c r="DV125" s="465"/>
      <c r="DW125" s="590"/>
      <c r="DX125" s="465"/>
      <c r="DY125" s="465"/>
      <c r="DZ125" s="465"/>
      <c r="EA125" s="465"/>
      <c r="EB125" s="465"/>
      <c r="EC125" s="465"/>
      <c r="ED125" s="465"/>
      <c r="EE125" s="465"/>
      <c r="EF125" s="465"/>
      <c r="EG125" s="465"/>
      <c r="EH125" s="465"/>
      <c r="EI125" s="465"/>
      <c r="EJ125" s="465"/>
      <c r="EK125" s="465"/>
      <c r="EL125" s="465"/>
      <c r="EM125" s="457"/>
      <c r="EN125" s="457"/>
      <c r="EO125" s="465"/>
      <c r="EP125" s="465"/>
      <c r="EQ125" s="465"/>
      <c r="ER125" s="465"/>
      <c r="ES125" s="465"/>
      <c r="ET125" s="465"/>
      <c r="EU125" s="590"/>
      <c r="EV125" s="465"/>
      <c r="EW125" s="465"/>
      <c r="EX125" s="465"/>
      <c r="EY125" s="465"/>
      <c r="EZ125" s="465"/>
      <c r="FA125" s="465"/>
      <c r="FB125" s="465"/>
      <c r="FC125" s="465"/>
      <c r="FD125" s="465"/>
      <c r="FE125" s="465"/>
      <c r="FF125" s="465"/>
      <c r="FG125" s="465"/>
      <c r="FH125" s="465"/>
      <c r="FI125" s="465"/>
      <c r="FJ125" s="465"/>
      <c r="FK125" s="7"/>
      <c r="FL125" s="465"/>
      <c r="FM125" s="465"/>
      <c r="FN125" s="465"/>
      <c r="FO125" s="465"/>
      <c r="FP125" s="465"/>
      <c r="FQ125" s="465"/>
      <c r="FR125" s="465"/>
      <c r="FS125" s="465"/>
      <c r="FT125" s="465"/>
      <c r="FU125" s="465"/>
      <c r="FV125" s="465"/>
      <c r="FW125" s="465"/>
      <c r="FX125" s="465"/>
      <c r="FY125" s="465"/>
      <c r="FZ125" s="590"/>
      <c r="GA125" s="465"/>
      <c r="GB125" s="465"/>
      <c r="GC125" s="465"/>
      <c r="GD125" s="465"/>
      <c r="GE125" s="465"/>
      <c r="GF125" s="465"/>
      <c r="GG125" s="465"/>
      <c r="GH125" s="465"/>
      <c r="GI125" s="465"/>
      <c r="GJ125" s="457"/>
      <c r="GK125" s="457"/>
      <c r="GL125" s="465"/>
      <c r="GO125" s="465"/>
      <c r="GP125" s="465"/>
      <c r="GQ125" s="465"/>
      <c r="GR125" s="465"/>
      <c r="GS125" s="465"/>
      <c r="GT125" s="465"/>
      <c r="GU125" s="465"/>
      <c r="GV125" s="465"/>
      <c r="GW125" s="465"/>
      <c r="GX125" s="465"/>
      <c r="GY125" s="465"/>
      <c r="GZ125" s="465"/>
      <c r="HA125" s="505" t="s">
        <v>324</v>
      </c>
      <c r="HB125" s="505"/>
      <c r="HC125" s="505"/>
      <c r="HD125" s="505"/>
      <c r="HE125" s="505"/>
      <c r="HF125" s="505"/>
      <c r="HG125" s="603" t="s">
        <v>325</v>
      </c>
      <c r="HH125" s="603"/>
      <c r="HI125" s="603"/>
      <c r="HJ125" s="603"/>
      <c r="HK125" s="603"/>
      <c r="HL125" s="603"/>
      <c r="HM125" s="601" t="s">
        <v>272</v>
      </c>
      <c r="HN125" s="601"/>
      <c r="HO125" s="601"/>
      <c r="HP125" s="601"/>
      <c r="HQ125" s="601"/>
      <c r="HR125" s="602" t="s">
        <v>282</v>
      </c>
      <c r="HS125" s="598" t="s">
        <v>265</v>
      </c>
      <c r="HT125" s="598"/>
      <c r="HU125" s="598"/>
      <c r="HV125" s="598"/>
      <c r="HW125" s="598"/>
      <c r="HX125" s="598"/>
      <c r="HY125" s="596" t="s">
        <v>261</v>
      </c>
      <c r="HZ125" s="596"/>
      <c r="IA125" s="596"/>
      <c r="IB125" s="596"/>
      <c r="IC125" s="596"/>
      <c r="ID125" s="596"/>
      <c r="IE125" s="471" t="s">
        <v>77</v>
      </c>
      <c r="IF125" s="471"/>
      <c r="IG125" s="471"/>
      <c r="IH125" s="471"/>
      <c r="II125" s="471"/>
      <c r="IJ125" s="471"/>
      <c r="IK125" s="473" t="s">
        <v>66</v>
      </c>
      <c r="IL125" s="473"/>
      <c r="IM125" s="473"/>
      <c r="IN125" s="457"/>
      <c r="IO125" s="457"/>
      <c r="IP125" s="473"/>
      <c r="IQ125" s="473"/>
      <c r="IR125" s="473"/>
      <c r="IS125" s="592" t="s">
        <v>247</v>
      </c>
      <c r="IT125" s="592"/>
      <c r="IU125" s="592"/>
      <c r="IV125" s="592"/>
      <c r="IW125" s="592"/>
      <c r="IX125" s="592"/>
      <c r="IY125" s="591" t="s">
        <v>242</v>
      </c>
      <c r="IZ125" s="591"/>
      <c r="JA125" s="591"/>
      <c r="JB125" s="591"/>
      <c r="JC125" s="591"/>
      <c r="JD125" s="591"/>
      <c r="JE125" s="3" t="s">
        <v>238</v>
      </c>
      <c r="JF125" s="3" t="s">
        <v>243</v>
      </c>
      <c r="JG125" s="456"/>
      <c r="JH125" s="456"/>
      <c r="JI125" s="456"/>
      <c r="JJ125" s="456"/>
      <c r="JK125" s="456"/>
      <c r="JL125" s="456"/>
      <c r="JM125" s="456"/>
      <c r="JN125" s="456"/>
      <c r="JO125" s="456"/>
      <c r="JP125" s="456"/>
      <c r="JQ125" s="456"/>
      <c r="JR125" s="456"/>
      <c r="JS125" s="456"/>
      <c r="JT125" s="456"/>
      <c r="JU125" s="456"/>
      <c r="JV125" s="456"/>
      <c r="JW125" s="456"/>
      <c r="JX125" s="456"/>
      <c r="JY125" s="456"/>
      <c r="JZ125" s="456"/>
      <c r="KA125" s="456"/>
      <c r="KB125" s="456"/>
      <c r="KC125" s="456"/>
      <c r="KD125" s="456"/>
      <c r="KE125" s="456"/>
      <c r="KF125" s="456"/>
    </row>
    <row r="126" spans="1:292" ht="70" hidden="1" customHeight="1">
      <c r="A126" s="170" t="s">
        <v>406</v>
      </c>
      <c r="B126" s="334">
        <v>68</v>
      </c>
      <c r="C126" s="334"/>
      <c r="D126" s="334"/>
      <c r="E126" s="334"/>
      <c r="F126" s="331" t="s">
        <v>369</v>
      </c>
      <c r="G126" s="78" t="s">
        <v>234</v>
      </c>
      <c r="H126" s="78"/>
      <c r="I126" s="70" t="s">
        <v>132</v>
      </c>
      <c r="J126" s="463" t="s">
        <v>407</v>
      </c>
      <c r="K126" s="246"/>
      <c r="L126" s="78" t="s">
        <v>55</v>
      </c>
      <c r="M126" s="33">
        <v>46495</v>
      </c>
      <c r="N126" s="36">
        <f t="shared" si="41"/>
        <v>46591</v>
      </c>
      <c r="O126" s="33">
        <v>46663</v>
      </c>
      <c r="P126" s="628">
        <f t="shared" si="38"/>
        <v>46663</v>
      </c>
      <c r="Q126" s="628">
        <f t="shared" si="40"/>
        <v>46859</v>
      </c>
      <c r="R126" s="628">
        <v>46836</v>
      </c>
      <c r="S126" s="58"/>
      <c r="T126" s="585">
        <f t="shared" si="37"/>
        <v>47323</v>
      </c>
      <c r="U126" s="364">
        <f t="shared" si="29"/>
        <v>660</v>
      </c>
      <c r="V126" s="271"/>
      <c r="W126" s="452" t="s">
        <v>508</v>
      </c>
      <c r="X126" s="465"/>
      <c r="Y126" s="465"/>
      <c r="Z126" s="465"/>
      <c r="AA126" s="465"/>
      <c r="AB126" s="465"/>
      <c r="AC126" s="465"/>
      <c r="AD126" s="465"/>
      <c r="AE126" s="465"/>
      <c r="AF126" s="465"/>
      <c r="AG126" s="340"/>
      <c r="AH126" s="465"/>
      <c r="AI126" s="465"/>
      <c r="AJ126" s="457"/>
      <c r="AK126" s="457"/>
      <c r="AL126" s="465"/>
      <c r="AM126" s="465"/>
      <c r="AN126" s="465"/>
      <c r="AO126" s="465"/>
      <c r="AP126" s="465"/>
      <c r="AQ126" s="465"/>
      <c r="AR126" s="465"/>
      <c r="AS126" s="7"/>
      <c r="AT126" s="7"/>
      <c r="AU126" s="456"/>
      <c r="AV126" s="340"/>
      <c r="AW126" s="465"/>
      <c r="AX126" s="456"/>
      <c r="AY126" s="465"/>
      <c r="AZ126" s="465"/>
      <c r="BA126" s="465"/>
      <c r="BB126" s="465"/>
      <c r="BC126" s="465"/>
      <c r="BD126" s="465"/>
      <c r="BE126" s="465"/>
      <c r="BF126" s="590"/>
      <c r="BG126" s="465"/>
      <c r="BH126" s="465"/>
      <c r="BI126" s="465"/>
      <c r="BJ126" s="465"/>
      <c r="BK126" s="465"/>
      <c r="BL126" s="465"/>
      <c r="BM126" s="465"/>
      <c r="BN126" s="465"/>
      <c r="BO126" s="465"/>
      <c r="BP126" s="465"/>
      <c r="BQ126" s="465"/>
      <c r="BR126" s="465"/>
      <c r="BS126" s="465"/>
      <c r="BT126" s="465"/>
      <c r="BU126" s="465"/>
      <c r="BV126" s="7"/>
      <c r="BW126" s="7"/>
      <c r="BX126" s="456"/>
      <c r="BY126" s="456"/>
      <c r="BZ126" s="456"/>
      <c r="CA126" s="7"/>
      <c r="CB126" s="465"/>
      <c r="CC126" s="465"/>
      <c r="CD126" s="465"/>
      <c r="CE126" s="465"/>
      <c r="CF126" s="7"/>
      <c r="CG126" s="7"/>
      <c r="CH126" s="465"/>
      <c r="CI126" s="7"/>
      <c r="CJ126" s="7"/>
      <c r="CK126" s="465"/>
      <c r="CL126" s="465"/>
      <c r="CM126" s="457"/>
      <c r="CN126" s="457"/>
      <c r="CO126" s="456"/>
      <c r="CP126" s="465"/>
      <c r="CQ126" s="465"/>
      <c r="CR126" s="465"/>
      <c r="CS126" s="465"/>
      <c r="CT126" s="465"/>
      <c r="CU126" s="465"/>
      <c r="CV126" s="465"/>
      <c r="CW126" s="456"/>
      <c r="CX126" s="465"/>
      <c r="CY126" s="465"/>
      <c r="CZ126" s="465"/>
      <c r="DA126" s="465"/>
      <c r="DB126" s="465"/>
      <c r="DC126" s="465"/>
      <c r="DD126" s="465"/>
      <c r="DE126" s="456"/>
      <c r="DF126" s="465"/>
      <c r="DG126" s="465"/>
      <c r="DH126" s="465"/>
      <c r="DI126" s="465"/>
      <c r="DJ126" s="456"/>
      <c r="DK126" s="456"/>
      <c r="DL126" s="456"/>
      <c r="DM126" s="456"/>
      <c r="DN126" s="456"/>
      <c r="DO126" s="456"/>
      <c r="DP126" s="456"/>
      <c r="DQ126" s="456"/>
      <c r="DR126" s="456"/>
      <c r="DS126" s="456"/>
      <c r="DT126" s="456"/>
      <c r="DU126" s="456"/>
      <c r="DV126" s="456"/>
      <c r="DW126" s="456"/>
      <c r="DX126" s="456"/>
      <c r="DY126" s="456"/>
      <c r="DZ126" s="456"/>
      <c r="EA126" s="456"/>
      <c r="EB126" s="456"/>
      <c r="EC126" s="456"/>
      <c r="ED126" s="456"/>
      <c r="EE126" s="456"/>
      <c r="EF126" s="456"/>
      <c r="EG126" s="456"/>
      <c r="EH126" s="456"/>
      <c r="EI126" s="456"/>
      <c r="EJ126" s="456"/>
      <c r="EK126" s="456"/>
      <c r="EL126" s="465"/>
      <c r="EM126" s="457"/>
      <c r="EN126" s="457"/>
      <c r="EO126" s="465"/>
      <c r="EP126" s="465"/>
      <c r="EQ126" s="465"/>
      <c r="ER126" s="465"/>
      <c r="ES126" s="465"/>
      <c r="ET126" s="465"/>
      <c r="EU126" s="465"/>
      <c r="EV126" s="465"/>
      <c r="EW126" s="590"/>
      <c r="EX126" s="465"/>
      <c r="EY126" s="465"/>
      <c r="EZ126" s="465"/>
      <c r="FA126" s="465"/>
      <c r="FB126" s="465"/>
      <c r="FC126" s="465"/>
      <c r="FD126" s="465"/>
      <c r="FE126" s="465"/>
      <c r="FF126" s="465"/>
      <c r="FG126" s="465"/>
      <c r="FH126" s="465"/>
      <c r="FI126" s="465"/>
      <c r="FJ126" s="465"/>
      <c r="FK126" s="465"/>
      <c r="FL126" s="465"/>
      <c r="FM126" s="465"/>
      <c r="FN126" s="465"/>
      <c r="FO126" s="465"/>
      <c r="FP126" s="465"/>
      <c r="FQ126" s="465"/>
      <c r="FR126" s="465"/>
      <c r="FS126" s="465"/>
      <c r="FT126" s="465"/>
      <c r="FU126" s="465"/>
      <c r="FV126" s="465"/>
      <c r="FW126" s="465"/>
      <c r="FX126" s="465"/>
      <c r="FY126" s="465"/>
      <c r="FZ126" s="465"/>
      <c r="GA126" s="465"/>
      <c r="GB126" s="465"/>
      <c r="GC126" s="465"/>
      <c r="GD126" s="590"/>
      <c r="GE126" s="465"/>
      <c r="GF126" s="465"/>
      <c r="GG126" s="465"/>
      <c r="GH126" s="465"/>
      <c r="GI126" s="465"/>
      <c r="GJ126" s="457"/>
      <c r="GK126" s="457"/>
      <c r="GL126" s="465"/>
      <c r="GO126" s="465"/>
      <c r="GP126" s="465"/>
      <c r="GQ126" s="465"/>
      <c r="GR126" s="465"/>
      <c r="GS126" s="465"/>
      <c r="GT126" s="465"/>
      <c r="GU126" s="465"/>
      <c r="GV126" s="465"/>
      <c r="GW126" s="465"/>
      <c r="GX126" s="465"/>
      <c r="GY126" s="465"/>
      <c r="GZ126" s="465"/>
      <c r="HA126" s="465"/>
      <c r="HB126" s="465"/>
      <c r="HC126" s="465"/>
      <c r="HD126" s="465"/>
      <c r="HE126" s="465"/>
      <c r="HF126" s="465"/>
      <c r="HG126" s="505" t="s">
        <v>324</v>
      </c>
      <c r="HH126" s="505"/>
      <c r="HI126" s="505"/>
      <c r="HJ126" s="505"/>
      <c r="HK126" s="505"/>
      <c r="HL126" s="505"/>
      <c r="HM126" s="603" t="s">
        <v>325</v>
      </c>
      <c r="HN126" s="603"/>
      <c r="HO126" s="603"/>
      <c r="HP126" s="603"/>
      <c r="HQ126" s="603"/>
      <c r="HR126" s="603"/>
      <c r="HS126" s="601" t="s">
        <v>272</v>
      </c>
      <c r="HT126" s="601"/>
      <c r="HU126" s="601"/>
      <c r="HV126" s="601"/>
      <c r="HW126" s="601"/>
      <c r="HX126" s="602" t="s">
        <v>282</v>
      </c>
      <c r="HY126" s="598" t="s">
        <v>265</v>
      </c>
      <c r="HZ126" s="598"/>
      <c r="IA126" s="598"/>
      <c r="IB126" s="598"/>
      <c r="IC126" s="598"/>
      <c r="ID126" s="598"/>
      <c r="IE126" s="596" t="s">
        <v>261</v>
      </c>
      <c r="IF126" s="596"/>
      <c r="IG126" s="596"/>
      <c r="IH126" s="596"/>
      <c r="II126" s="596"/>
      <c r="IJ126" s="596"/>
      <c r="IK126" s="471" t="s">
        <v>77</v>
      </c>
      <c r="IL126" s="471"/>
      <c r="IM126" s="471"/>
      <c r="IN126" s="457"/>
      <c r="IO126" s="457"/>
      <c r="IP126" s="471"/>
      <c r="IQ126" s="471"/>
      <c r="IR126" s="471"/>
      <c r="IS126" s="473" t="s">
        <v>66</v>
      </c>
      <c r="IT126" s="473"/>
      <c r="IU126" s="473"/>
      <c r="IV126" s="473"/>
      <c r="IW126" s="473"/>
      <c r="IX126" s="473"/>
      <c r="IY126" s="592" t="s">
        <v>247</v>
      </c>
      <c r="IZ126" s="592"/>
      <c r="JA126" s="592"/>
      <c r="JB126" s="592"/>
      <c r="JC126" s="592"/>
      <c r="JD126" s="592"/>
      <c r="JE126" s="591" t="s">
        <v>242</v>
      </c>
      <c r="JF126" s="591"/>
      <c r="JG126" s="591"/>
      <c r="JH126" s="591"/>
      <c r="JI126" s="591"/>
      <c r="JJ126" s="591"/>
      <c r="JK126" s="3" t="s">
        <v>238</v>
      </c>
      <c r="JL126" s="3" t="s">
        <v>243</v>
      </c>
      <c r="JM126" s="456"/>
      <c r="JN126" s="456"/>
      <c r="JO126" s="456"/>
      <c r="JP126" s="456"/>
      <c r="JQ126" s="456"/>
      <c r="JR126" s="456"/>
      <c r="JS126" s="456"/>
      <c r="JT126" s="456"/>
      <c r="JU126" s="456"/>
      <c r="JV126" s="456"/>
      <c r="JW126" s="456"/>
      <c r="JX126" s="456"/>
      <c r="JY126" s="456"/>
      <c r="JZ126" s="456"/>
      <c r="KA126" s="456"/>
      <c r="KB126" s="456"/>
      <c r="KC126" s="456"/>
      <c r="KD126" s="456"/>
      <c r="KE126" s="456"/>
      <c r="KF126" s="456"/>
    </row>
    <row r="127" spans="1:292" ht="70" hidden="1" customHeight="1">
      <c r="A127" s="170" t="s">
        <v>408</v>
      </c>
      <c r="B127" s="334">
        <v>69</v>
      </c>
      <c r="C127" s="334"/>
      <c r="D127" s="334"/>
      <c r="E127" s="334"/>
      <c r="F127" s="331" t="s">
        <v>369</v>
      </c>
      <c r="G127" s="78" t="s">
        <v>234</v>
      </c>
      <c r="H127" s="78"/>
      <c r="I127" s="70" t="s">
        <v>132</v>
      </c>
      <c r="J127" s="463" t="s">
        <v>409</v>
      </c>
      <c r="K127" s="246"/>
      <c r="L127" s="78" t="s">
        <v>55</v>
      </c>
      <c r="M127" s="33">
        <v>46509</v>
      </c>
      <c r="N127" s="36">
        <f t="shared" si="41"/>
        <v>46608.5</v>
      </c>
      <c r="O127" s="33">
        <v>46677</v>
      </c>
      <c r="P127" s="628">
        <f t="shared" si="38"/>
        <v>46691</v>
      </c>
      <c r="Q127" s="628">
        <f t="shared" si="40"/>
        <v>46887</v>
      </c>
      <c r="R127" s="628">
        <f t="shared" si="40"/>
        <v>46864</v>
      </c>
      <c r="S127" s="632"/>
      <c r="T127" s="585">
        <f t="shared" si="37"/>
        <v>47365</v>
      </c>
      <c r="U127" s="364">
        <f t="shared" si="29"/>
        <v>688</v>
      </c>
      <c r="V127" s="271"/>
      <c r="W127" s="452" t="s">
        <v>508</v>
      </c>
      <c r="X127" s="465"/>
      <c r="Y127" s="465"/>
      <c r="Z127" s="465"/>
      <c r="AA127" s="465"/>
      <c r="AB127" s="465"/>
      <c r="AC127" s="465"/>
      <c r="AD127" s="465"/>
      <c r="AE127" s="465"/>
      <c r="AF127" s="465"/>
      <c r="AG127" s="340"/>
      <c r="AH127" s="465"/>
      <c r="AI127" s="465"/>
      <c r="AJ127" s="457"/>
      <c r="AK127" s="457"/>
      <c r="AL127" s="465"/>
      <c r="AM127" s="465"/>
      <c r="AN127" s="465"/>
      <c r="AO127" s="465"/>
      <c r="AP127" s="465"/>
      <c r="AQ127" s="465"/>
      <c r="AR127" s="465"/>
      <c r="AS127" s="7"/>
      <c r="AT127" s="7"/>
      <c r="AU127" s="456"/>
      <c r="AV127" s="340"/>
      <c r="AW127" s="465"/>
      <c r="AX127" s="456"/>
      <c r="AY127" s="465"/>
      <c r="AZ127" s="465"/>
      <c r="BA127" s="465"/>
      <c r="BB127" s="465"/>
      <c r="BC127" s="465"/>
      <c r="BD127" s="465"/>
      <c r="BE127" s="465"/>
      <c r="BF127" s="590"/>
      <c r="BG127" s="465"/>
      <c r="BH127" s="465"/>
      <c r="BI127" s="465"/>
      <c r="BJ127" s="465"/>
      <c r="BK127" s="465"/>
      <c r="BL127" s="465"/>
      <c r="BM127" s="465"/>
      <c r="BN127" s="465"/>
      <c r="BO127" s="465"/>
      <c r="BP127" s="465"/>
      <c r="BQ127" s="465"/>
      <c r="BR127" s="465"/>
      <c r="BS127" s="465"/>
      <c r="BT127" s="465"/>
      <c r="BU127" s="465"/>
      <c r="BV127" s="7"/>
      <c r="BW127" s="7"/>
      <c r="BX127" s="456"/>
      <c r="BY127" s="456"/>
      <c r="BZ127" s="456"/>
      <c r="CA127" s="7"/>
      <c r="CB127" s="465"/>
      <c r="CC127" s="465"/>
      <c r="CD127" s="465"/>
      <c r="CE127" s="465"/>
      <c r="CF127" s="7"/>
      <c r="CG127" s="7"/>
      <c r="CH127" s="465"/>
      <c r="CI127" s="7"/>
      <c r="CJ127" s="7"/>
      <c r="CK127" s="465"/>
      <c r="CL127" s="465"/>
      <c r="CM127" s="457"/>
      <c r="CN127" s="457"/>
      <c r="CO127" s="456"/>
      <c r="CP127" s="465"/>
      <c r="CQ127" s="465"/>
      <c r="CR127" s="465"/>
      <c r="CS127" s="465"/>
      <c r="CT127" s="465"/>
      <c r="CU127" s="465"/>
      <c r="CV127" s="465"/>
      <c r="CW127" s="456"/>
      <c r="CX127" s="465"/>
      <c r="CY127" s="465"/>
      <c r="CZ127" s="465"/>
      <c r="DA127" s="465"/>
      <c r="DB127" s="465"/>
      <c r="DC127" s="465"/>
      <c r="DD127" s="465"/>
      <c r="DE127" s="456"/>
      <c r="DF127" s="465"/>
      <c r="DG127" s="465"/>
      <c r="DH127" s="465"/>
      <c r="DI127" s="465"/>
      <c r="DJ127" s="456"/>
      <c r="DK127" s="456"/>
      <c r="DL127" s="456"/>
      <c r="DM127" s="456"/>
      <c r="DN127" s="456"/>
      <c r="DO127" s="456"/>
      <c r="DP127" s="456"/>
      <c r="DQ127" s="456"/>
      <c r="DR127" s="456"/>
      <c r="DS127" s="456"/>
      <c r="DT127" s="456"/>
      <c r="DU127" s="456"/>
      <c r="DV127" s="456"/>
      <c r="DW127" s="456"/>
      <c r="DX127" s="456"/>
      <c r="DY127" s="456"/>
      <c r="DZ127" s="456"/>
      <c r="EA127" s="456"/>
      <c r="EB127" s="456"/>
      <c r="EC127" s="456"/>
      <c r="ED127" s="456"/>
      <c r="EE127" s="456"/>
      <c r="EF127" s="456"/>
      <c r="EG127" s="456"/>
      <c r="EH127" s="456"/>
      <c r="EI127" s="456"/>
      <c r="EJ127" s="456"/>
      <c r="EK127" s="456"/>
      <c r="EL127" s="465"/>
      <c r="EM127" s="457"/>
      <c r="EN127" s="457"/>
      <c r="EO127" s="465"/>
      <c r="EP127" s="465"/>
      <c r="EQ127" s="465"/>
      <c r="ER127" s="465"/>
      <c r="ES127" s="465"/>
      <c r="ET127" s="465"/>
      <c r="EU127" s="465"/>
      <c r="EV127" s="465"/>
      <c r="EW127" s="465"/>
      <c r="EX127" s="465"/>
      <c r="EY127" s="465"/>
      <c r="EZ127" s="590"/>
      <c r="FA127" s="465"/>
      <c r="FB127" s="465"/>
      <c r="FC127" s="465"/>
      <c r="FD127" s="465"/>
      <c r="FE127" s="465"/>
      <c r="FF127" s="465"/>
      <c r="FG127" s="465"/>
      <c r="FH127" s="465"/>
      <c r="FI127" s="465"/>
      <c r="FJ127" s="465"/>
      <c r="FK127" s="465"/>
      <c r="FL127" s="465"/>
      <c r="FM127" s="465"/>
      <c r="FN127" s="465"/>
      <c r="FO127" s="465"/>
      <c r="FP127" s="465"/>
      <c r="FQ127" s="465"/>
      <c r="FR127" s="465"/>
      <c r="FS127" s="465"/>
      <c r="FT127" s="465"/>
      <c r="FU127" s="465"/>
      <c r="FV127" s="465"/>
      <c r="FW127" s="465"/>
      <c r="FX127" s="465"/>
      <c r="FY127" s="465"/>
      <c r="FZ127" s="465"/>
      <c r="GA127" s="465"/>
      <c r="GB127" s="465"/>
      <c r="GC127" s="465"/>
      <c r="GD127" s="465"/>
      <c r="GE127" s="465"/>
      <c r="GF127" s="465"/>
      <c r="GG127" s="465"/>
      <c r="GH127" s="590"/>
      <c r="GI127" s="465"/>
      <c r="GJ127" s="457"/>
      <c r="GK127" s="457"/>
      <c r="GL127" s="465"/>
      <c r="GO127" s="465"/>
      <c r="GP127" s="465"/>
      <c r="GQ127" s="465"/>
      <c r="GR127" s="465"/>
      <c r="GS127" s="465"/>
      <c r="GT127" s="465"/>
      <c r="GU127" s="465"/>
      <c r="GV127" s="465"/>
      <c r="GW127" s="465"/>
      <c r="GX127" s="465"/>
      <c r="GY127" s="465"/>
      <c r="GZ127" s="465"/>
      <c r="HA127" s="465"/>
      <c r="HB127" s="465"/>
      <c r="HC127" s="465"/>
      <c r="HD127" s="465"/>
      <c r="HE127" s="465"/>
      <c r="HF127" s="465"/>
      <c r="HG127" s="465"/>
      <c r="HH127" s="465"/>
      <c r="HI127" s="465"/>
      <c r="HJ127" s="465"/>
      <c r="HK127" s="7"/>
      <c r="HL127" s="7"/>
      <c r="HM127" s="505" t="s">
        <v>324</v>
      </c>
      <c r="HN127" s="505"/>
      <c r="HO127" s="505"/>
      <c r="HP127" s="505"/>
      <c r="HQ127" s="505"/>
      <c r="HR127" s="505"/>
      <c r="HS127" s="603" t="s">
        <v>325</v>
      </c>
      <c r="HT127" s="603"/>
      <c r="HU127" s="603"/>
      <c r="HV127" s="603"/>
      <c r="HW127" s="603"/>
      <c r="HX127" s="603"/>
      <c r="HY127" s="601" t="s">
        <v>272</v>
      </c>
      <c r="HZ127" s="601"/>
      <c r="IA127" s="601"/>
      <c r="IB127" s="601"/>
      <c r="IC127" s="601"/>
      <c r="ID127" s="602" t="s">
        <v>282</v>
      </c>
      <c r="IE127" s="598" t="s">
        <v>265</v>
      </c>
      <c r="IF127" s="598"/>
      <c r="IG127" s="598"/>
      <c r="IH127" s="598"/>
      <c r="II127" s="598"/>
      <c r="IJ127" s="598"/>
      <c r="IK127" s="596" t="s">
        <v>261</v>
      </c>
      <c r="IL127" s="596"/>
      <c r="IM127" s="596"/>
      <c r="IN127" s="457"/>
      <c r="IO127" s="457"/>
      <c r="IP127" s="596"/>
      <c r="IQ127" s="596"/>
      <c r="IR127" s="596"/>
      <c r="IS127" s="471" t="s">
        <v>77</v>
      </c>
      <c r="IT127" s="471"/>
      <c r="IU127" s="471"/>
      <c r="IV127" s="471"/>
      <c r="IW127" s="471"/>
      <c r="IX127" s="471"/>
      <c r="IY127" s="473" t="s">
        <v>66</v>
      </c>
      <c r="IZ127" s="473"/>
      <c r="JA127" s="473"/>
      <c r="JB127" s="473"/>
      <c r="JC127" s="473"/>
      <c r="JD127" s="473"/>
      <c r="JE127" s="592" t="s">
        <v>247</v>
      </c>
      <c r="JF127" s="592"/>
      <c r="JG127" s="592"/>
      <c r="JH127" s="592"/>
      <c r="JI127" s="592"/>
      <c r="JJ127" s="592"/>
      <c r="JK127" s="591" t="s">
        <v>242</v>
      </c>
      <c r="JL127" s="591"/>
      <c r="JM127" s="591"/>
      <c r="JN127" s="591"/>
      <c r="JO127" s="591"/>
      <c r="JP127" s="591"/>
      <c r="JQ127" s="3" t="s">
        <v>238</v>
      </c>
      <c r="JR127" s="3" t="s">
        <v>243</v>
      </c>
      <c r="JS127" s="456"/>
      <c r="JT127" s="456"/>
      <c r="JU127" s="456"/>
      <c r="JV127" s="456"/>
      <c r="JW127" s="456"/>
      <c r="JX127" s="456"/>
      <c r="JY127" s="456"/>
      <c r="JZ127" s="456"/>
      <c r="KA127" s="456"/>
      <c r="KB127" s="456"/>
      <c r="KC127" s="456"/>
      <c r="KD127" s="456"/>
      <c r="KE127" s="456"/>
      <c r="KF127" s="456"/>
    </row>
    <row r="128" spans="1:292" ht="70" hidden="1" customHeight="1">
      <c r="A128" s="170" t="s">
        <v>410</v>
      </c>
      <c r="B128" s="334">
        <v>70</v>
      </c>
      <c r="C128" s="334"/>
      <c r="D128" s="334"/>
      <c r="E128" s="334"/>
      <c r="F128" s="331" t="s">
        <v>369</v>
      </c>
      <c r="G128" s="78" t="s">
        <v>234</v>
      </c>
      <c r="H128" s="78"/>
      <c r="I128" s="70" t="s">
        <v>162</v>
      </c>
      <c r="J128" s="463" t="s">
        <v>389</v>
      </c>
      <c r="K128" s="246"/>
      <c r="L128" s="158" t="s">
        <v>73</v>
      </c>
      <c r="M128" s="33">
        <v>46544</v>
      </c>
      <c r="N128" s="42">
        <v>46626</v>
      </c>
      <c r="O128" s="33">
        <v>46714</v>
      </c>
      <c r="P128" s="628">
        <f t="shared" si="38"/>
        <v>46719</v>
      </c>
      <c r="Q128" s="628">
        <f t="shared" si="40"/>
        <v>46915</v>
      </c>
      <c r="R128" s="628">
        <f t="shared" si="40"/>
        <v>46892</v>
      </c>
      <c r="S128" s="88"/>
      <c r="T128" s="585">
        <f t="shared" si="37"/>
        <v>47407</v>
      </c>
      <c r="U128" s="364">
        <f t="shared" si="29"/>
        <v>693</v>
      </c>
      <c r="V128" s="271"/>
      <c r="W128" s="452" t="s">
        <v>508</v>
      </c>
      <c r="X128" s="465"/>
      <c r="Y128" s="465"/>
      <c r="Z128" s="465"/>
      <c r="AA128" s="465"/>
      <c r="AB128" s="465"/>
      <c r="AC128" s="465"/>
      <c r="AD128" s="465"/>
      <c r="AE128" s="465"/>
      <c r="AF128" s="465"/>
      <c r="AG128" s="340"/>
      <c r="AH128" s="465"/>
      <c r="AI128" s="465"/>
      <c r="AJ128" s="457"/>
      <c r="AK128" s="457"/>
      <c r="AL128" s="465"/>
      <c r="AM128" s="465"/>
      <c r="AN128" s="465"/>
      <c r="AO128" s="465"/>
      <c r="AP128" s="465"/>
      <c r="AQ128" s="465"/>
      <c r="AR128" s="465"/>
      <c r="AS128" s="7"/>
      <c r="AT128" s="7"/>
      <c r="AU128" s="456"/>
      <c r="AV128" s="340"/>
      <c r="AW128" s="465"/>
      <c r="AX128" s="456"/>
      <c r="AY128" s="465"/>
      <c r="AZ128" s="465"/>
      <c r="BA128" s="465"/>
      <c r="BB128" s="465"/>
      <c r="BC128" s="465"/>
      <c r="BD128" s="465"/>
      <c r="BE128" s="465"/>
      <c r="BF128" s="590"/>
      <c r="BG128" s="465"/>
      <c r="BH128" s="465"/>
      <c r="BI128" s="465"/>
      <c r="BJ128" s="465"/>
      <c r="BK128" s="465"/>
      <c r="BL128" s="465"/>
      <c r="BM128" s="465"/>
      <c r="BN128" s="465"/>
      <c r="BO128" s="465"/>
      <c r="BP128" s="465"/>
      <c r="BQ128" s="465"/>
      <c r="BR128" s="465"/>
      <c r="BS128" s="465"/>
      <c r="BT128" s="465"/>
      <c r="BU128" s="465"/>
      <c r="BV128" s="7"/>
      <c r="BW128" s="7"/>
      <c r="BX128" s="456"/>
      <c r="BY128" s="456"/>
      <c r="BZ128" s="456"/>
      <c r="CA128" s="7"/>
      <c r="CB128" s="465"/>
      <c r="CC128" s="465"/>
      <c r="CD128" s="465"/>
      <c r="CE128" s="465"/>
      <c r="CF128" s="7"/>
      <c r="CG128" s="7"/>
      <c r="CH128" s="465"/>
      <c r="CI128" s="7"/>
      <c r="CJ128" s="7"/>
      <c r="CK128" s="465"/>
      <c r="CL128" s="465"/>
      <c r="CM128" s="457"/>
      <c r="CN128" s="457"/>
      <c r="CO128" s="456"/>
      <c r="CP128" s="465"/>
      <c r="CQ128" s="465"/>
      <c r="CR128" s="465"/>
      <c r="CS128" s="465"/>
      <c r="CT128" s="465"/>
      <c r="CU128" s="465"/>
      <c r="CV128" s="465"/>
      <c r="CW128" s="456"/>
      <c r="CX128" s="465"/>
      <c r="CY128" s="465"/>
      <c r="CZ128" s="465"/>
      <c r="DA128" s="465"/>
      <c r="DB128" s="465"/>
      <c r="DC128" s="465"/>
      <c r="DD128" s="465"/>
      <c r="DE128" s="456"/>
      <c r="DF128" s="465"/>
      <c r="DG128" s="465"/>
      <c r="DH128" s="465"/>
      <c r="DI128" s="465"/>
      <c r="DJ128" s="456"/>
      <c r="DK128" s="456"/>
      <c r="DL128" s="456"/>
      <c r="DM128" s="456"/>
      <c r="DN128" s="456"/>
      <c r="DO128" s="456"/>
      <c r="DP128" s="456"/>
      <c r="DQ128" s="456"/>
      <c r="DR128" s="456"/>
      <c r="DS128" s="456"/>
      <c r="DT128" s="456"/>
      <c r="DU128" s="456"/>
      <c r="DV128" s="456"/>
      <c r="DW128" s="456"/>
      <c r="DX128" s="456"/>
      <c r="DY128" s="456"/>
      <c r="DZ128" s="456"/>
      <c r="EA128" s="456"/>
      <c r="EB128" s="456"/>
      <c r="EC128" s="456"/>
      <c r="ED128" s="456"/>
      <c r="EE128" s="456"/>
      <c r="EF128" s="456"/>
      <c r="EG128" s="456"/>
      <c r="EH128" s="456"/>
      <c r="EI128" s="456"/>
      <c r="EJ128" s="456"/>
      <c r="EK128" s="456"/>
      <c r="EL128" s="465"/>
      <c r="EM128" s="457"/>
      <c r="EN128" s="457"/>
      <c r="EO128" s="465"/>
      <c r="EP128" s="465"/>
      <c r="EQ128" s="465"/>
      <c r="ER128" s="465"/>
      <c r="ES128" s="7"/>
      <c r="ET128" s="465"/>
      <c r="EU128" s="465"/>
      <c r="EV128" s="465"/>
      <c r="EW128" s="465"/>
      <c r="EX128" s="465"/>
      <c r="EY128" s="465"/>
      <c r="EZ128" s="465"/>
      <c r="FA128" s="465"/>
      <c r="FB128" s="590"/>
      <c r="FC128" s="465"/>
      <c r="FD128" s="465"/>
      <c r="FE128" s="465"/>
      <c r="FF128" s="465"/>
      <c r="FG128" s="465"/>
      <c r="FH128" s="465"/>
      <c r="FI128" s="465"/>
      <c r="FJ128" s="465"/>
      <c r="FK128" s="465"/>
      <c r="FL128" s="465"/>
      <c r="FM128" s="465"/>
      <c r="FN128" s="465"/>
      <c r="FO128" s="465"/>
      <c r="FP128" s="465"/>
      <c r="FQ128" s="465"/>
      <c r="FR128" s="465"/>
      <c r="FS128" s="465"/>
      <c r="FT128" s="465"/>
      <c r="FU128" s="465"/>
      <c r="FV128" s="465"/>
      <c r="FW128" s="465"/>
      <c r="FX128" s="465"/>
      <c r="FY128" s="465"/>
      <c r="FZ128" s="465"/>
      <c r="GA128" s="465"/>
      <c r="GB128" s="465"/>
      <c r="GC128" s="465"/>
      <c r="GD128" s="465"/>
      <c r="GE128" s="465"/>
      <c r="GF128" s="465"/>
      <c r="GG128" s="465"/>
      <c r="GH128" s="465"/>
      <c r="GI128" s="465"/>
      <c r="GJ128" s="457"/>
      <c r="GK128" s="457"/>
      <c r="GL128" s="590"/>
      <c r="GO128" s="465"/>
      <c r="GP128" s="465"/>
      <c r="GQ128" s="465"/>
      <c r="GR128" s="465"/>
      <c r="GS128" s="465"/>
      <c r="GT128" s="465"/>
      <c r="GU128" s="465"/>
      <c r="GV128" s="465"/>
      <c r="GW128" s="465"/>
      <c r="GX128" s="465"/>
      <c r="GY128" s="465"/>
      <c r="GZ128" s="465"/>
      <c r="HA128" s="465"/>
      <c r="HB128" s="465"/>
      <c r="HC128" s="465"/>
      <c r="HD128" s="465"/>
      <c r="HE128" s="465"/>
      <c r="HF128" s="465"/>
      <c r="HG128" s="465"/>
      <c r="HH128" s="465"/>
      <c r="HI128" s="465"/>
      <c r="HJ128" s="465"/>
      <c r="HK128" s="465"/>
      <c r="HL128" s="465"/>
      <c r="HM128" s="465"/>
      <c r="HN128" s="465"/>
      <c r="HO128" s="7"/>
      <c r="HP128" s="7"/>
      <c r="HQ128" s="456"/>
      <c r="HR128" s="456"/>
      <c r="HS128" s="505" t="s">
        <v>324</v>
      </c>
      <c r="HT128" s="505"/>
      <c r="HU128" s="505"/>
      <c r="HV128" s="505"/>
      <c r="HW128" s="505"/>
      <c r="HX128" s="505"/>
      <c r="HY128" s="603" t="s">
        <v>325</v>
      </c>
      <c r="HZ128" s="603"/>
      <c r="IA128" s="603"/>
      <c r="IB128" s="603"/>
      <c r="IC128" s="603"/>
      <c r="ID128" s="603"/>
      <c r="IE128" s="601" t="s">
        <v>272</v>
      </c>
      <c r="IF128" s="601"/>
      <c r="IG128" s="601"/>
      <c r="IH128" s="601"/>
      <c r="II128" s="601"/>
      <c r="IJ128" s="602" t="s">
        <v>282</v>
      </c>
      <c r="IK128" s="598" t="s">
        <v>265</v>
      </c>
      <c r="IL128" s="598"/>
      <c r="IM128" s="598"/>
      <c r="IN128" s="457"/>
      <c r="IO128" s="457"/>
      <c r="IP128" s="598"/>
      <c r="IQ128" s="598"/>
      <c r="IR128" s="598"/>
      <c r="IS128" s="596" t="s">
        <v>261</v>
      </c>
      <c r="IT128" s="596"/>
      <c r="IU128" s="596"/>
      <c r="IV128" s="596"/>
      <c r="IW128" s="596"/>
      <c r="IX128" s="596"/>
      <c r="IY128" s="471" t="s">
        <v>77</v>
      </c>
      <c r="IZ128" s="471"/>
      <c r="JA128" s="471"/>
      <c r="JB128" s="471"/>
      <c r="JC128" s="471"/>
      <c r="JD128" s="471"/>
      <c r="JE128" s="473" t="s">
        <v>66</v>
      </c>
      <c r="JF128" s="473"/>
      <c r="JG128" s="473"/>
      <c r="JH128" s="473"/>
      <c r="JI128" s="473"/>
      <c r="JJ128" s="473"/>
      <c r="JK128" s="592" t="s">
        <v>247</v>
      </c>
      <c r="JL128" s="592"/>
      <c r="JM128" s="592"/>
      <c r="JN128" s="592"/>
      <c r="JO128" s="592"/>
      <c r="JP128" s="592"/>
      <c r="JQ128" s="591" t="s">
        <v>242</v>
      </c>
      <c r="JR128" s="591"/>
      <c r="JS128" s="591"/>
      <c r="JT128" s="591"/>
      <c r="JU128" s="591"/>
      <c r="JV128" s="591"/>
      <c r="JW128" s="3" t="s">
        <v>238</v>
      </c>
      <c r="JX128" s="3" t="s">
        <v>243</v>
      </c>
      <c r="JY128" s="456"/>
      <c r="JZ128" s="456"/>
      <c r="KA128" s="456"/>
      <c r="KB128" s="456"/>
      <c r="KC128" s="456"/>
      <c r="KD128" s="456"/>
      <c r="KE128" s="456"/>
      <c r="KF128" s="456"/>
    </row>
    <row r="129" spans="1:292" ht="70" hidden="1" customHeight="1">
      <c r="A129" s="170" t="s">
        <v>411</v>
      </c>
      <c r="B129" s="334">
        <v>71</v>
      </c>
      <c r="C129" s="334"/>
      <c r="D129" s="334"/>
      <c r="E129" s="334"/>
      <c r="F129" s="331" t="s">
        <v>369</v>
      </c>
      <c r="G129" s="78" t="s">
        <v>234</v>
      </c>
      <c r="H129" s="78"/>
      <c r="I129" s="70" t="s">
        <v>333</v>
      </c>
      <c r="J129" s="155"/>
      <c r="K129" s="244"/>
      <c r="L129" s="78" t="s">
        <v>55</v>
      </c>
      <c r="M129" s="33"/>
      <c r="N129" s="42">
        <v>46559</v>
      </c>
      <c r="O129" s="33"/>
      <c r="P129" s="628">
        <f t="shared" si="38"/>
        <v>46747</v>
      </c>
      <c r="Q129" s="628">
        <f t="shared" si="40"/>
        <v>46943</v>
      </c>
      <c r="R129" s="628">
        <f t="shared" si="40"/>
        <v>46920</v>
      </c>
      <c r="S129" s="58"/>
      <c r="T129" s="585">
        <f t="shared" si="37"/>
        <v>47449</v>
      </c>
      <c r="U129" s="364"/>
      <c r="V129" s="271"/>
      <c r="W129" s="452" t="s">
        <v>508</v>
      </c>
      <c r="X129" s="465"/>
      <c r="Y129" s="465"/>
      <c r="Z129" s="465"/>
      <c r="AA129" s="465"/>
      <c r="AB129" s="465"/>
      <c r="AC129" s="465"/>
      <c r="AD129" s="465"/>
      <c r="AE129" s="465"/>
      <c r="AF129" s="465"/>
      <c r="AG129" s="340"/>
      <c r="AH129" s="465"/>
      <c r="AI129" s="465"/>
      <c r="AJ129" s="457"/>
      <c r="AK129" s="457"/>
      <c r="AL129" s="465"/>
      <c r="AM129" s="465"/>
      <c r="AN129" s="465"/>
      <c r="AO129" s="465"/>
      <c r="AP129" s="465"/>
      <c r="AQ129" s="465"/>
      <c r="AR129" s="465"/>
      <c r="AS129" s="7"/>
      <c r="AT129" s="7"/>
      <c r="AU129" s="456"/>
      <c r="AV129" s="340"/>
      <c r="AW129" s="465"/>
      <c r="AX129" s="456"/>
      <c r="AY129" s="465"/>
      <c r="AZ129" s="465"/>
      <c r="BA129" s="465"/>
      <c r="BB129" s="465"/>
      <c r="BC129" s="465"/>
      <c r="BD129" s="465"/>
      <c r="BE129" s="465"/>
      <c r="BF129" s="590"/>
      <c r="BG129" s="465"/>
      <c r="BH129" s="465"/>
      <c r="BI129" s="465"/>
      <c r="BJ129" s="465"/>
      <c r="BK129" s="465"/>
      <c r="BL129" s="465"/>
      <c r="BM129" s="465"/>
      <c r="BN129" s="465"/>
      <c r="BO129" s="465"/>
      <c r="BP129" s="465"/>
      <c r="BQ129" s="465"/>
      <c r="BR129" s="465"/>
      <c r="BS129" s="465"/>
      <c r="BT129" s="465"/>
      <c r="BU129" s="465"/>
      <c r="BV129" s="7"/>
      <c r="BW129" s="7"/>
      <c r="BX129" s="456"/>
      <c r="BY129" s="456"/>
      <c r="BZ129" s="456"/>
      <c r="CA129" s="7"/>
      <c r="CB129" s="465"/>
      <c r="CC129" s="465"/>
      <c r="CD129" s="465"/>
      <c r="CE129" s="465"/>
      <c r="CF129" s="7"/>
      <c r="CG129" s="7"/>
      <c r="CH129" s="465"/>
      <c r="CI129" s="7"/>
      <c r="CJ129" s="7"/>
      <c r="CK129" s="465"/>
      <c r="CL129" s="465"/>
      <c r="CM129" s="457"/>
      <c r="CN129" s="457"/>
      <c r="CO129" s="456"/>
      <c r="CP129" s="465"/>
      <c r="CQ129" s="465"/>
      <c r="CR129" s="465"/>
      <c r="CS129" s="465"/>
      <c r="CT129" s="465"/>
      <c r="CU129" s="465"/>
      <c r="CV129" s="465"/>
      <c r="CW129" s="465"/>
      <c r="CX129" s="465"/>
      <c r="CY129" s="465"/>
      <c r="CZ129" s="465"/>
      <c r="DA129" s="465"/>
      <c r="DB129" s="465"/>
      <c r="DC129" s="465"/>
      <c r="DD129" s="465"/>
      <c r="DE129" s="465"/>
      <c r="DF129" s="465"/>
      <c r="DG129" s="465"/>
      <c r="DH129" s="456"/>
      <c r="DI129" s="456"/>
      <c r="DJ129" s="456"/>
      <c r="DK129" s="456"/>
      <c r="DL129" s="456"/>
      <c r="DM129" s="456"/>
      <c r="DN129" s="456"/>
      <c r="DO129" s="456"/>
      <c r="DP129" s="456"/>
      <c r="DQ129" s="456"/>
      <c r="DR129" s="456"/>
      <c r="DS129" s="456"/>
      <c r="DT129" s="456"/>
      <c r="DU129" s="456"/>
      <c r="DV129" s="456"/>
      <c r="DW129" s="456"/>
      <c r="DX129" s="456"/>
      <c r="DY129" s="456"/>
      <c r="DZ129" s="456"/>
      <c r="EA129" s="456"/>
      <c r="EB129" s="456"/>
      <c r="EC129" s="456"/>
      <c r="ED129" s="456"/>
      <c r="EE129" s="456"/>
      <c r="EF129" s="456"/>
      <c r="EG129" s="456"/>
      <c r="EH129" s="456"/>
      <c r="EI129" s="456"/>
      <c r="EJ129" s="456"/>
      <c r="EK129" s="456"/>
      <c r="EL129" s="465"/>
      <c r="EM129" s="457"/>
      <c r="EN129" s="457"/>
      <c r="EO129" s="465"/>
      <c r="EP129" s="465"/>
      <c r="EQ129" s="465"/>
      <c r="ER129" s="465"/>
      <c r="ES129" s="465"/>
      <c r="ET129" s="465"/>
      <c r="EU129" s="465"/>
      <c r="EV129" s="465"/>
      <c r="EW129" s="465"/>
      <c r="EX129" s="465"/>
      <c r="EY129" s="465"/>
      <c r="EZ129" s="465"/>
      <c r="FA129" s="465"/>
      <c r="FB129" s="465"/>
      <c r="FC129" s="465"/>
      <c r="FD129" s="465"/>
      <c r="FE129" s="465"/>
      <c r="FF129" s="465"/>
      <c r="FG129" s="465"/>
      <c r="FH129" s="465"/>
      <c r="FI129" s="465"/>
      <c r="FJ129" s="465"/>
      <c r="FK129" s="465"/>
      <c r="FL129" s="465"/>
      <c r="FM129" s="465"/>
      <c r="FN129" s="465"/>
      <c r="FO129" s="465"/>
      <c r="FP129" s="465"/>
      <c r="FQ129" s="465"/>
      <c r="FR129" s="465"/>
      <c r="FS129" s="465"/>
      <c r="FT129" s="465"/>
      <c r="FU129" s="465"/>
      <c r="FV129" s="465"/>
      <c r="FW129" s="465"/>
      <c r="FX129" s="465"/>
      <c r="FY129" s="465"/>
      <c r="FZ129" s="465"/>
      <c r="GA129" s="465"/>
      <c r="GB129" s="465"/>
      <c r="GC129" s="465"/>
      <c r="GD129" s="465"/>
      <c r="GE129" s="465"/>
      <c r="GF129" s="465"/>
      <c r="GG129" s="465"/>
      <c r="GH129" s="465"/>
      <c r="GI129" s="465"/>
      <c r="GJ129" s="457"/>
      <c r="GK129" s="457"/>
      <c r="GL129" s="465"/>
      <c r="GO129" s="465"/>
      <c r="GP129" s="465"/>
      <c r="GQ129" s="465"/>
      <c r="GR129" s="465"/>
      <c r="GS129" s="465"/>
      <c r="GT129" s="465"/>
      <c r="GU129" s="465"/>
      <c r="GV129" s="465"/>
      <c r="GW129" s="465"/>
      <c r="GX129" s="465"/>
      <c r="GY129" s="465"/>
      <c r="GZ129" s="465"/>
      <c r="HA129" s="465"/>
      <c r="HB129" s="465"/>
      <c r="HC129" s="465"/>
      <c r="HD129" s="465"/>
      <c r="HE129" s="465"/>
      <c r="HF129" s="465"/>
      <c r="HG129" s="465"/>
      <c r="HH129" s="465"/>
      <c r="HI129" s="465"/>
      <c r="HJ129" s="465"/>
      <c r="HK129" s="465"/>
      <c r="HL129" s="465"/>
      <c r="HM129" s="465"/>
      <c r="HN129" s="465"/>
      <c r="HO129" s="465"/>
      <c r="HP129" s="465"/>
      <c r="HQ129" s="456"/>
      <c r="HR129" s="456"/>
      <c r="HS129" s="456"/>
      <c r="HT129" s="456"/>
      <c r="HU129" s="456"/>
      <c r="HV129" s="456"/>
      <c r="HW129" s="456"/>
      <c r="HX129" s="456"/>
      <c r="HY129" s="505" t="s">
        <v>324</v>
      </c>
      <c r="HZ129" s="505"/>
      <c r="IA129" s="505"/>
      <c r="IB129" s="505"/>
      <c r="IC129" s="505"/>
      <c r="ID129" s="505"/>
      <c r="IE129" s="603" t="s">
        <v>325</v>
      </c>
      <c r="IF129" s="603"/>
      <c r="IG129" s="603"/>
      <c r="IH129" s="603"/>
      <c r="II129" s="603"/>
      <c r="IJ129" s="603"/>
      <c r="IK129" s="601" t="s">
        <v>272</v>
      </c>
      <c r="IL129" s="601"/>
      <c r="IM129" s="601"/>
      <c r="IN129" s="457"/>
      <c r="IO129" s="457"/>
      <c r="IP129" s="601"/>
      <c r="IQ129" s="601"/>
      <c r="IR129" s="602" t="s">
        <v>282</v>
      </c>
      <c r="IS129" s="598" t="s">
        <v>265</v>
      </c>
      <c r="IT129" s="598"/>
      <c r="IU129" s="598"/>
      <c r="IV129" s="598"/>
      <c r="IW129" s="598"/>
      <c r="IX129" s="598"/>
      <c r="IY129" s="596" t="s">
        <v>261</v>
      </c>
      <c r="IZ129" s="596"/>
      <c r="JA129" s="596"/>
      <c r="JB129" s="596"/>
      <c r="JC129" s="596"/>
      <c r="JD129" s="596"/>
      <c r="JE129" s="471" t="s">
        <v>77</v>
      </c>
      <c r="JF129" s="471"/>
      <c r="JG129" s="471"/>
      <c r="JH129" s="471"/>
      <c r="JI129" s="471"/>
      <c r="JJ129" s="471"/>
      <c r="JK129" s="473" t="s">
        <v>66</v>
      </c>
      <c r="JL129" s="473"/>
      <c r="JM129" s="473"/>
      <c r="JN129" s="473"/>
      <c r="JO129" s="473"/>
      <c r="JP129" s="473"/>
      <c r="JQ129" s="592" t="s">
        <v>247</v>
      </c>
      <c r="JR129" s="592"/>
      <c r="JS129" s="592"/>
      <c r="JT129" s="592"/>
      <c r="JU129" s="592"/>
      <c r="JV129" s="592"/>
      <c r="JW129" s="591" t="s">
        <v>242</v>
      </c>
      <c r="JX129" s="591"/>
      <c r="JY129" s="591"/>
      <c r="JZ129" s="591"/>
      <c r="KA129" s="591"/>
      <c r="KB129" s="591"/>
      <c r="KC129" s="3" t="s">
        <v>238</v>
      </c>
      <c r="KD129" s="3" t="s">
        <v>243</v>
      </c>
      <c r="KE129" s="456"/>
      <c r="KF129" s="456"/>
    </row>
    <row r="130" spans="1:292" ht="70" hidden="1" customHeight="1">
      <c r="A130" s="170" t="s">
        <v>412</v>
      </c>
      <c r="B130" s="334">
        <v>72</v>
      </c>
      <c r="C130" s="334"/>
      <c r="D130" s="334"/>
      <c r="E130" s="334"/>
      <c r="F130" s="331" t="s">
        <v>369</v>
      </c>
      <c r="G130" s="78" t="s">
        <v>234</v>
      </c>
      <c r="H130" s="78"/>
      <c r="I130" s="70" t="s">
        <v>333</v>
      </c>
      <c r="J130" s="155"/>
      <c r="K130" s="244"/>
      <c r="L130" s="78" t="s">
        <v>55</v>
      </c>
      <c r="M130" s="33"/>
      <c r="N130" s="42">
        <v>46573</v>
      </c>
      <c r="O130" s="33"/>
      <c r="P130" s="628">
        <f t="shared" si="38"/>
        <v>46775</v>
      </c>
      <c r="Q130" s="628">
        <f t="shared" si="40"/>
        <v>46971</v>
      </c>
      <c r="R130" s="452">
        <f t="shared" ref="R130:R136" si="42">T130-70</f>
        <v>47421</v>
      </c>
      <c r="S130" s="58"/>
      <c r="T130" s="585">
        <f t="shared" si="37"/>
        <v>47491</v>
      </c>
      <c r="U130" s="364"/>
      <c r="V130" s="271"/>
      <c r="W130" s="452" t="s">
        <v>508</v>
      </c>
      <c r="X130" s="465"/>
      <c r="Y130" s="465"/>
      <c r="Z130" s="465"/>
      <c r="AA130" s="465"/>
      <c r="AB130" s="465"/>
      <c r="AC130" s="465"/>
      <c r="AD130" s="465"/>
      <c r="AE130" s="456"/>
      <c r="AF130" s="456"/>
      <c r="AG130" s="456"/>
      <c r="AH130" s="456"/>
      <c r="AI130" s="456"/>
      <c r="AJ130" s="457"/>
      <c r="AK130" s="457"/>
      <c r="AL130" s="456"/>
      <c r="AM130" s="456"/>
      <c r="AN130" s="456"/>
      <c r="AO130" s="456"/>
      <c r="AP130" s="456"/>
      <c r="AQ130" s="456"/>
      <c r="AR130" s="456"/>
      <c r="AS130" s="456"/>
      <c r="AT130" s="456"/>
      <c r="AU130" s="456"/>
      <c r="AV130" s="456"/>
      <c r="AW130" s="456"/>
      <c r="AX130" s="456"/>
      <c r="AY130" s="456"/>
      <c r="AZ130" s="456"/>
      <c r="BA130" s="456"/>
      <c r="BB130" s="456"/>
      <c r="BC130" s="456"/>
      <c r="BD130" s="456"/>
      <c r="BE130" s="456"/>
      <c r="BF130" s="456"/>
      <c r="BG130" s="456"/>
      <c r="BH130" s="456"/>
      <c r="BI130" s="456"/>
      <c r="BJ130" s="456"/>
      <c r="BK130" s="456"/>
      <c r="BL130" s="456"/>
      <c r="BM130" s="456"/>
      <c r="BN130" s="456"/>
      <c r="BO130" s="456"/>
      <c r="BP130" s="456"/>
      <c r="BQ130" s="456"/>
      <c r="BR130" s="456"/>
      <c r="BS130" s="456"/>
      <c r="BT130" s="456"/>
      <c r="BU130" s="456"/>
      <c r="BV130" s="456"/>
      <c r="BW130" s="456"/>
      <c r="BX130" s="456"/>
      <c r="BY130" s="456"/>
      <c r="BZ130" s="456"/>
      <c r="CA130" s="456"/>
      <c r="CB130" s="456"/>
      <c r="CC130" s="456"/>
      <c r="CD130" s="456"/>
      <c r="CE130" s="456"/>
      <c r="CF130" s="456"/>
      <c r="CG130" s="456"/>
      <c r="CH130" s="456"/>
      <c r="CI130" s="456"/>
      <c r="CJ130" s="456"/>
      <c r="CK130" s="456"/>
      <c r="CL130" s="456"/>
      <c r="CM130" s="457"/>
      <c r="CN130" s="457"/>
      <c r="CO130" s="456"/>
      <c r="CP130" s="456"/>
      <c r="CQ130" s="456"/>
      <c r="CR130" s="456"/>
      <c r="CS130" s="456"/>
      <c r="CT130" s="456"/>
      <c r="CU130" s="456"/>
      <c r="CV130" s="456"/>
      <c r="CW130" s="456"/>
      <c r="CX130" s="456"/>
      <c r="CY130" s="456"/>
      <c r="CZ130" s="456"/>
      <c r="DA130" s="456"/>
      <c r="DB130" s="456"/>
      <c r="DC130" s="456"/>
      <c r="DD130" s="456"/>
      <c r="DE130" s="456"/>
      <c r="DF130" s="456"/>
      <c r="DG130" s="456"/>
      <c r="DH130" s="456"/>
      <c r="DI130" s="456"/>
      <c r="DJ130" s="456"/>
      <c r="DK130" s="456"/>
      <c r="DL130" s="456"/>
      <c r="DM130" s="456"/>
      <c r="DN130" s="456"/>
      <c r="DO130" s="456"/>
      <c r="DP130" s="456"/>
      <c r="DQ130" s="456"/>
      <c r="DR130" s="456"/>
      <c r="DS130" s="456"/>
      <c r="DT130" s="456"/>
      <c r="DU130" s="456"/>
      <c r="DV130" s="456"/>
      <c r="DW130" s="456"/>
      <c r="DX130" s="456"/>
      <c r="DY130" s="456"/>
      <c r="DZ130" s="456"/>
      <c r="EA130" s="456"/>
      <c r="EB130" s="456"/>
      <c r="EC130" s="456"/>
      <c r="ED130" s="456"/>
      <c r="EE130" s="456"/>
      <c r="EF130" s="456"/>
      <c r="EG130" s="456"/>
      <c r="EH130" s="456"/>
      <c r="EI130" s="456"/>
      <c r="EJ130" s="456"/>
      <c r="EK130" s="456"/>
      <c r="EL130" s="465"/>
      <c r="EM130" s="457"/>
      <c r="EN130" s="457"/>
      <c r="EO130" s="465"/>
      <c r="EP130" s="465"/>
      <c r="EQ130" s="465"/>
      <c r="ER130" s="465"/>
      <c r="ES130" s="465"/>
      <c r="ET130" s="465"/>
      <c r="EU130" s="465"/>
      <c r="EV130" s="465"/>
      <c r="EW130" s="465"/>
      <c r="EX130" s="465"/>
      <c r="EY130" s="465"/>
      <c r="EZ130" s="465"/>
      <c r="FA130" s="465"/>
      <c r="FB130" s="465"/>
      <c r="FC130" s="465"/>
      <c r="FD130" s="465"/>
      <c r="FE130" s="465"/>
      <c r="FF130" s="465"/>
      <c r="FG130" s="465"/>
      <c r="FH130" s="465"/>
      <c r="FI130" s="465"/>
      <c r="FJ130" s="465"/>
      <c r="FK130" s="465"/>
      <c r="FL130" s="465"/>
      <c r="FM130" s="465"/>
      <c r="FN130" s="465"/>
      <c r="FO130" s="465"/>
      <c r="FP130" s="465"/>
      <c r="FQ130" s="465"/>
      <c r="FR130" s="465"/>
      <c r="FS130" s="465"/>
      <c r="FT130" s="465"/>
      <c r="FU130" s="465"/>
      <c r="FV130" s="465"/>
      <c r="FW130" s="465"/>
      <c r="FX130" s="465"/>
      <c r="FY130" s="465"/>
      <c r="FZ130" s="465"/>
      <c r="GA130" s="465"/>
      <c r="GB130" s="465"/>
      <c r="GC130" s="465"/>
      <c r="GD130" s="465"/>
      <c r="GE130" s="465"/>
      <c r="GF130" s="465"/>
      <c r="GG130" s="465"/>
      <c r="GH130" s="465"/>
      <c r="GI130" s="465"/>
      <c r="GJ130" s="457"/>
      <c r="GK130" s="457"/>
      <c r="GL130" s="465"/>
      <c r="GO130" s="465"/>
      <c r="GP130" s="465"/>
      <c r="GQ130" s="465"/>
      <c r="GR130" s="465"/>
      <c r="GS130" s="465"/>
      <c r="GT130" s="465"/>
      <c r="GU130" s="465"/>
      <c r="GV130" s="465"/>
      <c r="GW130" s="465"/>
      <c r="GX130" s="465"/>
      <c r="GY130" s="465"/>
      <c r="GZ130" s="465"/>
      <c r="HA130" s="465"/>
      <c r="HB130" s="465"/>
      <c r="HC130" s="465"/>
      <c r="HD130" s="465"/>
      <c r="HE130" s="465"/>
      <c r="HF130" s="465"/>
      <c r="HG130" s="465"/>
      <c r="HH130" s="465"/>
      <c r="HI130" s="465"/>
      <c r="HJ130" s="465"/>
      <c r="HK130" s="465"/>
      <c r="HL130" s="465"/>
      <c r="HM130" s="465"/>
      <c r="HN130" s="465"/>
      <c r="HO130" s="465"/>
      <c r="HP130" s="465"/>
      <c r="HQ130" s="456"/>
      <c r="HR130" s="456"/>
      <c r="HS130" s="456"/>
      <c r="HT130" s="456"/>
      <c r="HU130" s="456"/>
      <c r="HV130" s="456"/>
      <c r="HW130" s="456"/>
      <c r="HX130" s="456"/>
      <c r="HY130" s="456"/>
      <c r="HZ130" s="456"/>
      <c r="IA130" s="456"/>
      <c r="IB130" s="456"/>
      <c r="IC130" s="456"/>
      <c r="ID130" s="456"/>
      <c r="IE130" s="505" t="s">
        <v>324</v>
      </c>
      <c r="IF130" s="505"/>
      <c r="IG130" s="505"/>
      <c r="IH130" s="505"/>
      <c r="II130" s="505"/>
      <c r="IJ130" s="505"/>
      <c r="IK130" s="603" t="s">
        <v>325</v>
      </c>
      <c r="IL130" s="603"/>
      <c r="IM130" s="603"/>
      <c r="IN130" s="457"/>
      <c r="IO130" s="457"/>
      <c r="IP130" s="603"/>
      <c r="IQ130" s="603"/>
      <c r="IR130" s="603"/>
      <c r="IS130" s="601" t="s">
        <v>272</v>
      </c>
      <c r="IT130" s="601"/>
      <c r="IU130" s="601"/>
      <c r="IV130" s="601"/>
      <c r="IW130" s="601"/>
      <c r="IX130" s="602" t="s">
        <v>282</v>
      </c>
      <c r="IY130" s="598" t="s">
        <v>265</v>
      </c>
      <c r="IZ130" s="598"/>
      <c r="JA130" s="598"/>
      <c r="JB130" s="598"/>
      <c r="JC130" s="598"/>
      <c r="JD130" s="598"/>
      <c r="JE130" s="596" t="s">
        <v>261</v>
      </c>
      <c r="JF130" s="596"/>
      <c r="JG130" s="596"/>
      <c r="JH130" s="596"/>
      <c r="JI130" s="596"/>
      <c r="JJ130" s="596"/>
      <c r="JK130" s="471" t="s">
        <v>77</v>
      </c>
      <c r="JL130" s="471"/>
      <c r="JM130" s="471"/>
      <c r="JN130" s="471"/>
      <c r="JO130" s="471"/>
      <c r="JP130" s="471"/>
      <c r="JQ130" s="473" t="s">
        <v>66</v>
      </c>
      <c r="JR130" s="473"/>
      <c r="JS130" s="473"/>
      <c r="JT130" s="473"/>
      <c r="JU130" s="473"/>
      <c r="JV130" s="473"/>
      <c r="JW130" s="592" t="s">
        <v>247</v>
      </c>
      <c r="JX130" s="592"/>
      <c r="JY130" s="592"/>
      <c r="JZ130" s="592"/>
      <c r="KA130" s="592"/>
      <c r="KB130" s="592"/>
      <c r="KC130" s="591" t="s">
        <v>242</v>
      </c>
      <c r="KD130" s="591"/>
      <c r="KE130" s="591"/>
      <c r="KF130" s="591"/>
    </row>
    <row r="131" spans="1:292" ht="70" hidden="1" customHeight="1">
      <c r="A131" s="170" t="s">
        <v>413</v>
      </c>
      <c r="B131" s="334">
        <v>73</v>
      </c>
      <c r="C131" s="334"/>
      <c r="D131" s="334"/>
      <c r="E131" s="334"/>
      <c r="F131" s="331" t="s">
        <v>369</v>
      </c>
      <c r="G131" s="78" t="s">
        <v>234</v>
      </c>
      <c r="H131" s="78"/>
      <c r="I131" s="70" t="s">
        <v>333</v>
      </c>
      <c r="J131" s="155"/>
      <c r="K131" s="244"/>
      <c r="L131" s="78" t="s">
        <v>55</v>
      </c>
      <c r="M131" s="33"/>
      <c r="N131" s="42">
        <v>46587</v>
      </c>
      <c r="O131" s="33"/>
      <c r="P131" s="628">
        <f t="shared" si="38"/>
        <v>46803</v>
      </c>
      <c r="Q131" s="628">
        <f t="shared" si="40"/>
        <v>46999</v>
      </c>
      <c r="R131" s="452">
        <f t="shared" si="42"/>
        <v>47463</v>
      </c>
      <c r="S131" s="595"/>
      <c r="T131" s="585">
        <f t="shared" si="37"/>
        <v>47533</v>
      </c>
      <c r="U131" s="364"/>
      <c r="V131" s="271"/>
      <c r="W131" s="452" t="s">
        <v>508</v>
      </c>
      <c r="X131" s="465"/>
      <c r="Y131" s="465"/>
      <c r="Z131" s="465"/>
      <c r="AA131" s="465"/>
      <c r="AB131" s="465"/>
      <c r="AC131" s="465"/>
      <c r="AD131" s="465"/>
      <c r="AE131" s="465"/>
      <c r="AF131" s="465"/>
      <c r="AG131" s="340"/>
      <c r="AH131" s="465"/>
      <c r="AI131" s="465"/>
      <c r="AJ131" s="457"/>
      <c r="AK131" s="457"/>
      <c r="AL131" s="465"/>
      <c r="AM131" s="465"/>
      <c r="AN131" s="465"/>
      <c r="AO131" s="465"/>
      <c r="AP131" s="465"/>
      <c r="AQ131" s="465"/>
      <c r="AR131" s="465"/>
      <c r="AS131" s="7"/>
      <c r="AT131" s="7"/>
      <c r="AU131" s="456"/>
      <c r="AV131" s="340"/>
      <c r="AW131" s="465"/>
      <c r="AX131" s="456"/>
      <c r="AY131" s="465"/>
      <c r="AZ131" s="465"/>
      <c r="BA131" s="465"/>
      <c r="BB131" s="465"/>
      <c r="BC131" s="465"/>
      <c r="BD131" s="465"/>
      <c r="BE131" s="465"/>
      <c r="BF131" s="590"/>
      <c r="BG131" s="465"/>
      <c r="BH131" s="465"/>
      <c r="BI131" s="465"/>
      <c r="BJ131" s="465"/>
      <c r="BK131" s="465"/>
      <c r="BL131" s="465"/>
      <c r="BM131" s="465"/>
      <c r="BN131" s="465"/>
      <c r="BO131" s="465"/>
      <c r="BP131" s="465"/>
      <c r="BQ131" s="465"/>
      <c r="BR131" s="465"/>
      <c r="BS131" s="465"/>
      <c r="BT131" s="465"/>
      <c r="BU131" s="465"/>
      <c r="BV131" s="7"/>
      <c r="BW131" s="7"/>
      <c r="BX131" s="456"/>
      <c r="BY131" s="456"/>
      <c r="BZ131" s="456"/>
      <c r="CA131" s="7"/>
      <c r="CB131" s="465"/>
      <c r="CC131" s="465"/>
      <c r="CD131" s="465"/>
      <c r="CE131" s="465"/>
      <c r="CF131" s="7"/>
      <c r="CG131" s="7"/>
      <c r="CH131" s="465"/>
      <c r="CI131" s="7"/>
      <c r="CJ131" s="7"/>
      <c r="CK131" s="465"/>
      <c r="CL131" s="465"/>
      <c r="CM131" s="457"/>
      <c r="CN131" s="457"/>
      <c r="CO131" s="456"/>
      <c r="CP131" s="465"/>
      <c r="CQ131" s="465"/>
      <c r="CR131" s="465"/>
      <c r="CS131" s="465"/>
      <c r="CT131" s="465"/>
      <c r="CU131" s="465"/>
      <c r="CV131" s="465"/>
      <c r="CW131" s="465"/>
      <c r="CX131" s="465"/>
      <c r="CY131" s="465"/>
      <c r="CZ131" s="465"/>
      <c r="DA131" s="465"/>
      <c r="DB131" s="465"/>
      <c r="DC131" s="465"/>
      <c r="DD131" s="465"/>
      <c r="DE131" s="465"/>
      <c r="DF131" s="465"/>
      <c r="DG131" s="465"/>
      <c r="DH131" s="456"/>
      <c r="DI131" s="456"/>
      <c r="DJ131" s="456"/>
      <c r="DK131" s="456"/>
      <c r="DL131" s="456"/>
      <c r="DM131" s="456"/>
      <c r="DN131" s="456"/>
      <c r="DO131" s="456"/>
      <c r="DP131" s="456"/>
      <c r="DQ131" s="456"/>
      <c r="DR131" s="456"/>
      <c r="DS131" s="456"/>
      <c r="DT131" s="456"/>
      <c r="DU131" s="456"/>
      <c r="DV131" s="456"/>
      <c r="DW131" s="456"/>
      <c r="DX131" s="456"/>
      <c r="DY131" s="456"/>
      <c r="DZ131" s="456"/>
      <c r="EA131" s="456"/>
      <c r="EB131" s="456"/>
      <c r="EC131" s="456"/>
      <c r="ED131" s="456"/>
      <c r="EE131" s="456"/>
      <c r="EF131" s="456"/>
      <c r="EG131" s="456"/>
      <c r="EH131" s="456"/>
      <c r="EI131" s="456"/>
      <c r="EJ131" s="456"/>
      <c r="EK131" s="456"/>
      <c r="EL131" s="465"/>
      <c r="EM131" s="457"/>
      <c r="EN131" s="457"/>
      <c r="EO131" s="465"/>
      <c r="EP131" s="465"/>
      <c r="EQ131" s="465"/>
      <c r="ER131" s="465"/>
      <c r="ES131" s="465"/>
      <c r="ET131" s="465"/>
      <c r="EU131" s="465"/>
      <c r="EV131" s="465"/>
      <c r="EW131" s="465"/>
      <c r="EX131" s="465"/>
      <c r="EY131" s="465"/>
      <c r="EZ131" s="465"/>
      <c r="FA131" s="465"/>
      <c r="FB131" s="465"/>
      <c r="FC131" s="465"/>
      <c r="FD131" s="465"/>
      <c r="FE131" s="465"/>
      <c r="FF131" s="465"/>
      <c r="FG131" s="465"/>
      <c r="FH131" s="465"/>
      <c r="FI131" s="465"/>
      <c r="FJ131" s="465"/>
      <c r="FK131" s="465"/>
      <c r="FL131" s="465"/>
      <c r="FM131" s="465"/>
      <c r="FN131" s="465"/>
      <c r="FO131" s="465"/>
      <c r="FP131" s="465"/>
      <c r="FQ131" s="465"/>
      <c r="FR131" s="465"/>
      <c r="FS131" s="465"/>
      <c r="FT131" s="465"/>
      <c r="FU131" s="465"/>
      <c r="FV131" s="465"/>
      <c r="FW131" s="465"/>
      <c r="FX131" s="465"/>
      <c r="FY131" s="465"/>
      <c r="FZ131" s="465"/>
      <c r="GA131" s="465"/>
      <c r="GB131" s="465"/>
      <c r="GC131" s="465"/>
      <c r="GD131" s="465"/>
      <c r="GE131" s="465"/>
      <c r="GF131" s="465"/>
      <c r="GG131" s="465"/>
      <c r="GH131" s="465"/>
      <c r="GI131" s="465"/>
      <c r="GJ131" s="457"/>
      <c r="GK131" s="457"/>
      <c r="GL131" s="465"/>
      <c r="GO131" s="465"/>
      <c r="GP131" s="465"/>
      <c r="GQ131" s="465"/>
      <c r="GR131" s="465"/>
      <c r="GS131" s="465"/>
      <c r="GT131" s="465"/>
      <c r="GU131" s="465"/>
      <c r="GV131" s="465"/>
      <c r="GW131" s="465"/>
      <c r="GX131" s="465"/>
      <c r="GY131" s="465"/>
      <c r="GZ131" s="465"/>
      <c r="HA131" s="465"/>
      <c r="HB131" s="465"/>
      <c r="HC131" s="465"/>
      <c r="HD131" s="465"/>
      <c r="HE131" s="465"/>
      <c r="HF131" s="465"/>
      <c r="HG131" s="465"/>
      <c r="HH131" s="465"/>
      <c r="HI131" s="465"/>
      <c r="HJ131" s="465"/>
      <c r="HK131" s="465"/>
      <c r="HL131" s="465"/>
      <c r="HM131" s="465"/>
      <c r="HN131" s="465"/>
      <c r="HO131" s="465"/>
      <c r="HP131" s="465"/>
      <c r="HQ131" s="456"/>
      <c r="HR131" s="456"/>
      <c r="HS131" s="456"/>
      <c r="HT131" s="456"/>
      <c r="HU131" s="456"/>
      <c r="HV131" s="456"/>
      <c r="HW131" s="456"/>
      <c r="HX131" s="456"/>
      <c r="HY131" s="456"/>
      <c r="HZ131" s="456"/>
      <c r="IA131" s="456"/>
      <c r="IB131" s="456"/>
      <c r="IC131" s="456"/>
      <c r="ID131" s="456"/>
      <c r="IE131" s="456"/>
      <c r="IF131" s="456"/>
      <c r="IG131" s="456"/>
      <c r="IH131" s="456"/>
      <c r="II131" s="456"/>
      <c r="IJ131" s="456"/>
      <c r="IK131" s="505" t="s">
        <v>324</v>
      </c>
      <c r="IL131" s="505"/>
      <c r="IM131" s="505"/>
      <c r="IN131" s="457"/>
      <c r="IO131" s="457"/>
      <c r="IP131" s="505"/>
      <c r="IQ131" s="505"/>
      <c r="IR131" s="505"/>
      <c r="IS131" s="603" t="s">
        <v>325</v>
      </c>
      <c r="IT131" s="603"/>
      <c r="IU131" s="603"/>
      <c r="IV131" s="603"/>
      <c r="IW131" s="603"/>
      <c r="IX131" s="603"/>
      <c r="IY131" s="601" t="s">
        <v>272</v>
      </c>
      <c r="IZ131" s="601"/>
      <c r="JA131" s="601"/>
      <c r="JB131" s="601"/>
      <c r="JC131" s="601"/>
      <c r="JD131" s="602" t="s">
        <v>282</v>
      </c>
      <c r="JE131" s="598" t="s">
        <v>265</v>
      </c>
      <c r="JF131" s="598"/>
      <c r="JG131" s="598"/>
      <c r="JH131" s="598"/>
      <c r="JI131" s="598"/>
      <c r="JJ131" s="598"/>
      <c r="JK131" s="596" t="s">
        <v>261</v>
      </c>
      <c r="JL131" s="596"/>
      <c r="JM131" s="596"/>
      <c r="JN131" s="596"/>
      <c r="JO131" s="596"/>
      <c r="JP131" s="596"/>
      <c r="JQ131" s="471" t="s">
        <v>77</v>
      </c>
      <c r="JR131" s="471"/>
      <c r="JS131" s="471"/>
      <c r="JT131" s="471"/>
      <c r="JU131" s="471"/>
      <c r="JV131" s="471"/>
      <c r="JW131" s="473" t="s">
        <v>66</v>
      </c>
      <c r="JX131" s="473"/>
      <c r="JY131" s="473"/>
      <c r="JZ131" s="473"/>
      <c r="KA131" s="473"/>
      <c r="KB131" s="473"/>
      <c r="KC131" s="592" t="s">
        <v>247</v>
      </c>
      <c r="KD131" s="592"/>
      <c r="KE131" s="592"/>
      <c r="KF131" s="592"/>
    </row>
    <row r="132" spans="1:292" ht="70" hidden="1" customHeight="1">
      <c r="A132" s="170" t="s">
        <v>414</v>
      </c>
      <c r="B132" s="334">
        <v>74</v>
      </c>
      <c r="C132" s="334"/>
      <c r="D132" s="334"/>
      <c r="E132" s="334"/>
      <c r="F132" s="331" t="s">
        <v>369</v>
      </c>
      <c r="G132" s="78" t="s">
        <v>234</v>
      </c>
      <c r="H132" s="78"/>
      <c r="I132" s="69" t="s">
        <v>31</v>
      </c>
      <c r="J132" s="155" t="s">
        <v>415</v>
      </c>
      <c r="K132" s="244" t="s">
        <v>270</v>
      </c>
      <c r="L132" s="78" t="s">
        <v>55</v>
      </c>
      <c r="M132" s="33">
        <v>46623</v>
      </c>
      <c r="N132" s="42">
        <v>46663</v>
      </c>
      <c r="O132" s="33">
        <v>46794</v>
      </c>
      <c r="P132" s="628">
        <f t="shared" si="38"/>
        <v>46831</v>
      </c>
      <c r="Q132" s="628">
        <f t="shared" si="40"/>
        <v>47027</v>
      </c>
      <c r="R132" s="452">
        <f t="shared" si="42"/>
        <v>47505</v>
      </c>
      <c r="S132" s="595"/>
      <c r="T132" s="585">
        <f t="shared" si="37"/>
        <v>47575</v>
      </c>
      <c r="U132" s="364">
        <f t="shared" si="29"/>
        <v>781</v>
      </c>
      <c r="V132" s="272"/>
      <c r="W132" s="452" t="s">
        <v>508</v>
      </c>
      <c r="X132" s="465"/>
      <c r="Y132" s="465"/>
      <c r="Z132" s="465"/>
      <c r="AA132" s="465"/>
      <c r="AB132" s="465"/>
      <c r="AC132" s="465"/>
      <c r="AD132" s="465"/>
      <c r="AE132" s="465"/>
      <c r="AF132" s="465"/>
      <c r="AG132" s="340"/>
      <c r="AH132" s="465"/>
      <c r="AI132" s="465"/>
      <c r="AJ132" s="457"/>
      <c r="AK132" s="457"/>
      <c r="AL132" s="465"/>
      <c r="AM132" s="465"/>
      <c r="AN132" s="465"/>
      <c r="AO132" s="465"/>
      <c r="AP132" s="465"/>
      <c r="AQ132" s="465"/>
      <c r="AR132" s="465"/>
      <c r="AS132" s="7"/>
      <c r="AT132" s="7"/>
      <c r="AU132" s="456"/>
      <c r="AV132" s="340"/>
      <c r="AW132" s="465"/>
      <c r="AX132" s="456"/>
      <c r="AY132" s="465"/>
      <c r="AZ132" s="465"/>
      <c r="BA132" s="465"/>
      <c r="BB132" s="465"/>
      <c r="BC132" s="465"/>
      <c r="BD132" s="465"/>
      <c r="BE132" s="465"/>
      <c r="BF132" s="590"/>
      <c r="BG132" s="465"/>
      <c r="BH132" s="465"/>
      <c r="BI132" s="465"/>
      <c r="BJ132" s="465"/>
      <c r="BK132" s="465"/>
      <c r="BL132" s="465"/>
      <c r="BM132" s="465"/>
      <c r="BN132" s="465"/>
      <c r="BO132" s="465"/>
      <c r="BP132" s="465"/>
      <c r="BQ132" s="465"/>
      <c r="BR132" s="465"/>
      <c r="BS132" s="465"/>
      <c r="BT132" s="465"/>
      <c r="BU132" s="465"/>
      <c r="BV132" s="7"/>
      <c r="BW132" s="7"/>
      <c r="BX132" s="456"/>
      <c r="BY132" s="456"/>
      <c r="BZ132" s="456"/>
      <c r="CA132" s="7"/>
      <c r="CB132" s="465"/>
      <c r="CC132" s="465"/>
      <c r="CD132" s="465"/>
      <c r="CE132" s="465"/>
      <c r="CF132" s="7"/>
      <c r="CG132" s="7"/>
      <c r="CH132" s="465"/>
      <c r="CI132" s="7"/>
      <c r="CJ132" s="7"/>
      <c r="CK132" s="465"/>
      <c r="CL132" s="465"/>
      <c r="CM132" s="457"/>
      <c r="CN132" s="457"/>
      <c r="CO132" s="456"/>
      <c r="CP132" s="465"/>
      <c r="CQ132" s="465"/>
      <c r="CR132" s="465"/>
      <c r="CS132" s="465"/>
      <c r="CT132" s="465"/>
      <c r="CU132" s="465"/>
      <c r="CV132" s="465"/>
      <c r="CW132" s="465"/>
      <c r="CX132" s="465"/>
      <c r="CY132" s="465"/>
      <c r="CZ132" s="465"/>
      <c r="DA132" s="465"/>
      <c r="DB132" s="465"/>
      <c r="DC132" s="465"/>
      <c r="DD132" s="465"/>
      <c r="DE132" s="465"/>
      <c r="DF132" s="465"/>
      <c r="DG132" s="465"/>
      <c r="DH132" s="456"/>
      <c r="DI132" s="456"/>
      <c r="DJ132" s="456"/>
      <c r="DK132" s="456"/>
      <c r="DL132" s="456"/>
      <c r="DM132" s="456"/>
      <c r="DN132" s="456"/>
      <c r="DO132" s="456"/>
      <c r="DP132" s="456"/>
      <c r="DQ132" s="456"/>
      <c r="DR132" s="456"/>
      <c r="DS132" s="456"/>
      <c r="DT132" s="456"/>
      <c r="DU132" s="456"/>
      <c r="DV132" s="456"/>
      <c r="DW132" s="456"/>
      <c r="DX132" s="456"/>
      <c r="DY132" s="456"/>
      <c r="DZ132" s="456"/>
      <c r="EA132" s="456"/>
      <c r="EB132" s="456"/>
      <c r="EC132" s="456"/>
      <c r="ED132" s="456"/>
      <c r="EE132" s="456"/>
      <c r="EF132" s="456"/>
      <c r="EG132" s="456"/>
      <c r="EH132" s="456"/>
      <c r="EI132" s="456"/>
      <c r="EJ132" s="456"/>
      <c r="EK132" s="456"/>
      <c r="EL132" s="465"/>
      <c r="EM132" s="457"/>
      <c r="EN132" s="457"/>
      <c r="EO132" s="465"/>
      <c r="EP132" s="465"/>
      <c r="EQ132" s="465"/>
      <c r="ER132" s="465"/>
      <c r="ES132" s="465"/>
      <c r="ET132" s="465"/>
      <c r="EU132" s="465"/>
      <c r="EV132" s="465"/>
      <c r="EW132" s="465"/>
      <c r="EX132" s="465"/>
      <c r="EY132" s="465"/>
      <c r="EZ132" s="465"/>
      <c r="FA132" s="465"/>
      <c r="FB132" s="465"/>
      <c r="FC132" s="465"/>
      <c r="FD132" s="465"/>
      <c r="FE132" s="465"/>
      <c r="FF132" s="465"/>
      <c r="FG132" s="465"/>
      <c r="FH132" s="465"/>
      <c r="FI132" s="465"/>
      <c r="FJ132" s="465"/>
      <c r="FK132" s="465"/>
      <c r="FL132" s="465"/>
      <c r="FM132" s="465"/>
      <c r="FN132" s="465"/>
      <c r="FO132" s="465"/>
      <c r="FP132" s="465"/>
      <c r="FQ132" s="465"/>
      <c r="FR132" s="465"/>
      <c r="FS132" s="465"/>
      <c r="FT132" s="465"/>
      <c r="FU132" s="465"/>
      <c r="FV132" s="465"/>
      <c r="FW132" s="465"/>
      <c r="FX132" s="465"/>
      <c r="FY132" s="465"/>
      <c r="FZ132" s="465"/>
      <c r="GA132" s="465"/>
      <c r="GB132" s="465"/>
      <c r="GC132" s="465"/>
      <c r="GD132" s="465"/>
      <c r="GE132" s="465"/>
      <c r="GF132" s="465"/>
      <c r="GG132" s="465"/>
      <c r="GH132" s="465"/>
      <c r="GI132" s="465"/>
      <c r="GJ132" s="457"/>
      <c r="GK132" s="457"/>
      <c r="GL132" s="465"/>
      <c r="GO132" s="465"/>
      <c r="GP132" s="465"/>
      <c r="GQ132" s="465"/>
      <c r="GR132" s="465"/>
      <c r="GS132" s="465"/>
      <c r="GT132" s="465"/>
      <c r="GU132" s="465"/>
      <c r="GV132" s="465"/>
      <c r="GW132" s="465"/>
      <c r="GX132" s="465"/>
      <c r="GY132" s="465"/>
      <c r="GZ132" s="465"/>
      <c r="HA132" s="465"/>
      <c r="HB132" s="465"/>
      <c r="HC132" s="465"/>
      <c r="HD132" s="465"/>
      <c r="HE132" s="465"/>
      <c r="HF132" s="465"/>
      <c r="HG132" s="465"/>
      <c r="HH132" s="465"/>
      <c r="HI132" s="465"/>
      <c r="HJ132" s="465"/>
      <c r="HK132" s="465"/>
      <c r="HL132" s="465"/>
      <c r="HM132" s="465"/>
      <c r="HN132" s="465"/>
      <c r="HO132" s="465"/>
      <c r="HP132" s="465"/>
      <c r="HQ132" s="456"/>
      <c r="HR132" s="456"/>
      <c r="HS132" s="456"/>
      <c r="HT132" s="456"/>
      <c r="HU132" s="456"/>
      <c r="HV132" s="456"/>
      <c r="HW132" s="456"/>
      <c r="HX132" s="456"/>
      <c r="HY132" s="456"/>
      <c r="HZ132" s="456"/>
      <c r="IA132" s="456"/>
      <c r="IB132" s="456"/>
      <c r="IC132" s="456"/>
      <c r="ID132" s="456"/>
      <c r="IE132" s="456"/>
      <c r="IF132" s="456"/>
      <c r="IG132" s="456"/>
      <c r="IH132" s="456"/>
      <c r="II132" s="456"/>
      <c r="IJ132" s="456"/>
      <c r="IK132" s="456"/>
      <c r="IL132" s="456"/>
      <c r="IM132" s="456"/>
      <c r="IN132" s="457"/>
      <c r="IO132" s="457"/>
      <c r="IP132" s="456"/>
      <c r="IQ132" s="456"/>
      <c r="IR132" s="456"/>
      <c r="IS132" s="505" t="s">
        <v>324</v>
      </c>
      <c r="IT132" s="505"/>
      <c r="IU132" s="505"/>
      <c r="IV132" s="505"/>
      <c r="IW132" s="505"/>
      <c r="IX132" s="505"/>
      <c r="IY132" s="603" t="s">
        <v>325</v>
      </c>
      <c r="IZ132" s="603"/>
      <c r="JA132" s="603"/>
      <c r="JB132" s="603"/>
      <c r="JC132" s="603"/>
      <c r="JD132" s="603"/>
      <c r="JE132" s="601" t="s">
        <v>272</v>
      </c>
      <c r="JF132" s="601"/>
      <c r="JG132" s="601"/>
      <c r="JH132" s="601"/>
      <c r="JI132" s="601"/>
      <c r="JJ132" s="602" t="s">
        <v>282</v>
      </c>
      <c r="JK132" s="598" t="s">
        <v>265</v>
      </c>
      <c r="JL132" s="598"/>
      <c r="JM132" s="598"/>
      <c r="JN132" s="598"/>
      <c r="JO132" s="598"/>
      <c r="JP132" s="598"/>
      <c r="JQ132" s="596" t="s">
        <v>261</v>
      </c>
      <c r="JR132" s="596"/>
      <c r="JS132" s="596"/>
      <c r="JT132" s="596"/>
      <c r="JU132" s="596"/>
      <c r="JV132" s="596"/>
      <c r="JW132" s="471" t="s">
        <v>77</v>
      </c>
      <c r="JX132" s="471"/>
      <c r="JY132" s="471"/>
      <c r="JZ132" s="471"/>
      <c r="KA132" s="471"/>
      <c r="KB132" s="471"/>
      <c r="KC132" s="473" t="s">
        <v>66</v>
      </c>
      <c r="KD132" s="473"/>
      <c r="KE132" s="473"/>
      <c r="KF132" s="473"/>
    </row>
    <row r="133" spans="1:292" ht="70" hidden="1" customHeight="1">
      <c r="A133" s="170" t="s">
        <v>416</v>
      </c>
      <c r="B133" s="334">
        <v>75</v>
      </c>
      <c r="C133" s="334"/>
      <c r="D133" s="334"/>
      <c r="E133" s="334"/>
      <c r="F133" s="331" t="s">
        <v>369</v>
      </c>
      <c r="G133" s="78" t="s">
        <v>234</v>
      </c>
      <c r="H133" s="78"/>
      <c r="I133" s="71" t="s">
        <v>333</v>
      </c>
      <c r="J133" s="463"/>
      <c r="K133" s="244"/>
      <c r="L133" s="78" t="s">
        <v>55</v>
      </c>
      <c r="M133" s="78"/>
      <c r="N133" s="42"/>
      <c r="O133" s="80"/>
      <c r="P133" s="628">
        <f t="shared" si="38"/>
        <v>46859</v>
      </c>
      <c r="Q133" s="628">
        <f t="shared" si="40"/>
        <v>47055</v>
      </c>
      <c r="R133" s="452">
        <f t="shared" si="42"/>
        <v>47547</v>
      </c>
      <c r="S133" s="58"/>
      <c r="T133" s="585">
        <f t="shared" si="37"/>
        <v>47617</v>
      </c>
      <c r="U133" s="364"/>
      <c r="V133" s="271"/>
      <c r="W133" s="452" t="s">
        <v>508</v>
      </c>
      <c r="X133" s="465"/>
      <c r="Y133" s="465"/>
      <c r="Z133" s="465"/>
      <c r="AA133" s="465"/>
      <c r="AB133" s="465"/>
      <c r="AC133" s="465"/>
      <c r="AD133" s="465"/>
      <c r="AE133" s="465"/>
      <c r="AF133" s="465"/>
      <c r="AG133" s="340"/>
      <c r="AH133" s="465"/>
      <c r="AI133" s="465"/>
      <c r="AJ133" s="457"/>
      <c r="AK133" s="457"/>
      <c r="AL133" s="465"/>
      <c r="AM133" s="465"/>
      <c r="AN133" s="465"/>
      <c r="AO133" s="465"/>
      <c r="AP133" s="465"/>
      <c r="AQ133" s="465"/>
      <c r="AR133" s="465"/>
      <c r="AS133" s="7"/>
      <c r="AT133" s="7"/>
      <c r="AU133" s="456"/>
      <c r="AV133" s="340"/>
      <c r="AW133" s="465"/>
      <c r="AX133" s="456"/>
      <c r="AY133" s="465"/>
      <c r="AZ133" s="465"/>
      <c r="BA133" s="465"/>
      <c r="BB133" s="465"/>
      <c r="BC133" s="465"/>
      <c r="BD133" s="465"/>
      <c r="BE133" s="465"/>
      <c r="BF133" s="590"/>
      <c r="BG133" s="465"/>
      <c r="BH133" s="465"/>
      <c r="BI133" s="465"/>
      <c r="BJ133" s="465"/>
      <c r="BK133" s="465"/>
      <c r="BL133" s="465"/>
      <c r="BM133" s="465"/>
      <c r="BN133" s="465"/>
      <c r="BO133" s="465"/>
      <c r="BP133" s="465"/>
      <c r="BQ133" s="465"/>
      <c r="BR133" s="465"/>
      <c r="BS133" s="465"/>
      <c r="BT133" s="465"/>
      <c r="BU133" s="465"/>
      <c r="BV133" s="7"/>
      <c r="BW133" s="7"/>
      <c r="BX133" s="456"/>
      <c r="BY133" s="456"/>
      <c r="BZ133" s="456"/>
      <c r="CA133" s="7"/>
      <c r="CB133" s="465"/>
      <c r="CC133" s="465"/>
      <c r="CD133" s="465"/>
      <c r="CE133" s="465"/>
      <c r="CF133" s="7"/>
      <c r="CG133" s="7"/>
      <c r="CH133" s="465"/>
      <c r="CI133" s="7"/>
      <c r="CJ133" s="7"/>
      <c r="CK133" s="465"/>
      <c r="CL133" s="465"/>
      <c r="CM133" s="457"/>
      <c r="CN133" s="457"/>
      <c r="CO133" s="456"/>
      <c r="CP133" s="465"/>
      <c r="CQ133" s="465"/>
      <c r="CR133" s="465"/>
      <c r="CS133" s="465"/>
      <c r="CT133" s="465"/>
      <c r="CU133" s="465"/>
      <c r="CV133" s="465"/>
      <c r="CW133" s="465"/>
      <c r="CX133" s="465"/>
      <c r="CY133" s="465"/>
      <c r="CZ133" s="465"/>
      <c r="DA133" s="465"/>
      <c r="DB133" s="465"/>
      <c r="DC133" s="465"/>
      <c r="DD133" s="465"/>
      <c r="DE133" s="465"/>
      <c r="DF133" s="465"/>
      <c r="DG133" s="465"/>
      <c r="DH133" s="456"/>
      <c r="DI133" s="456"/>
      <c r="DJ133" s="456"/>
      <c r="DK133" s="456"/>
      <c r="DL133" s="456"/>
      <c r="DM133" s="456"/>
      <c r="DN133" s="456"/>
      <c r="DO133" s="456"/>
      <c r="DP133" s="456"/>
      <c r="DQ133" s="456"/>
      <c r="DR133" s="456"/>
      <c r="DS133" s="456"/>
      <c r="DT133" s="456"/>
      <c r="DU133" s="456"/>
      <c r="DV133" s="456"/>
      <c r="DW133" s="456"/>
      <c r="DX133" s="456"/>
      <c r="DY133" s="456"/>
      <c r="DZ133" s="456"/>
      <c r="EA133" s="456"/>
      <c r="EB133" s="456"/>
      <c r="EC133" s="456"/>
      <c r="ED133" s="456"/>
      <c r="EE133" s="456"/>
      <c r="EF133" s="456"/>
      <c r="EG133" s="456"/>
      <c r="EH133" s="456"/>
      <c r="EI133" s="456"/>
      <c r="EJ133" s="456"/>
      <c r="EK133" s="456"/>
      <c r="EL133" s="465"/>
      <c r="EM133" s="457"/>
      <c r="EN133" s="457"/>
      <c r="EO133" s="465"/>
      <c r="EP133" s="465"/>
      <c r="EQ133" s="465"/>
      <c r="ER133" s="465"/>
      <c r="ES133" s="465"/>
      <c r="ET133" s="465"/>
      <c r="EU133" s="465"/>
      <c r="EV133" s="465"/>
      <c r="EW133" s="465"/>
      <c r="EX133" s="465"/>
      <c r="EY133" s="465"/>
      <c r="EZ133" s="465"/>
      <c r="FA133" s="465"/>
      <c r="FB133" s="465"/>
      <c r="FC133" s="465"/>
      <c r="FD133" s="465"/>
      <c r="FE133" s="465"/>
      <c r="FF133" s="465"/>
      <c r="FG133" s="465"/>
      <c r="FH133" s="465"/>
      <c r="FI133" s="465"/>
      <c r="FJ133" s="465"/>
      <c r="FK133" s="465"/>
      <c r="FL133" s="465"/>
      <c r="FM133" s="465"/>
      <c r="FN133" s="465"/>
      <c r="FO133" s="465"/>
      <c r="FP133" s="465"/>
      <c r="FQ133" s="465"/>
      <c r="FR133" s="465"/>
      <c r="FS133" s="465"/>
      <c r="FT133" s="465"/>
      <c r="FU133" s="465"/>
      <c r="FV133" s="465"/>
      <c r="FW133" s="465"/>
      <c r="FX133" s="465"/>
      <c r="FY133" s="465"/>
      <c r="FZ133" s="465"/>
      <c r="GA133" s="465"/>
      <c r="GB133" s="465"/>
      <c r="GC133" s="465"/>
      <c r="GD133" s="465"/>
      <c r="GE133" s="465"/>
      <c r="GF133" s="465"/>
      <c r="GG133" s="465"/>
      <c r="GH133" s="465"/>
      <c r="GI133" s="465"/>
      <c r="GJ133" s="457"/>
      <c r="GK133" s="457"/>
      <c r="GL133" s="465"/>
      <c r="GO133" s="465"/>
      <c r="GP133" s="465"/>
      <c r="GQ133" s="465"/>
      <c r="GR133" s="465"/>
      <c r="GS133" s="465"/>
      <c r="GT133" s="465"/>
      <c r="GU133" s="465"/>
      <c r="GV133" s="465"/>
      <c r="GW133" s="465"/>
      <c r="GX133" s="465"/>
      <c r="GY133" s="465"/>
      <c r="GZ133" s="465"/>
      <c r="HA133" s="465"/>
      <c r="HB133" s="465"/>
      <c r="HC133" s="465"/>
      <c r="HD133" s="465"/>
      <c r="HE133" s="465"/>
      <c r="HF133" s="465"/>
      <c r="HG133" s="465"/>
      <c r="HH133" s="465"/>
      <c r="HI133" s="465"/>
      <c r="HJ133" s="465"/>
      <c r="HK133" s="465"/>
      <c r="HL133" s="465"/>
      <c r="HM133" s="465"/>
      <c r="HN133" s="465"/>
      <c r="HO133" s="465"/>
      <c r="HP133" s="465"/>
      <c r="HQ133" s="456"/>
      <c r="HR133" s="456"/>
      <c r="HS133" s="456"/>
      <c r="HT133" s="456"/>
      <c r="HU133" s="456"/>
      <c r="HV133" s="456"/>
      <c r="HW133" s="456"/>
      <c r="HX133" s="456"/>
      <c r="HY133" s="456"/>
      <c r="HZ133" s="456"/>
      <c r="IA133" s="456"/>
      <c r="IB133" s="456"/>
      <c r="IC133" s="456"/>
      <c r="ID133" s="456"/>
      <c r="IE133" s="456"/>
      <c r="IF133" s="456"/>
      <c r="IG133" s="456"/>
      <c r="IH133" s="456"/>
      <c r="II133" s="456"/>
      <c r="IJ133" s="456"/>
      <c r="IK133" s="456"/>
      <c r="IL133" s="456"/>
      <c r="IM133" s="456"/>
      <c r="IN133" s="457"/>
      <c r="IO133" s="457"/>
      <c r="IP133" s="456"/>
      <c r="IQ133" s="456"/>
      <c r="IR133" s="456"/>
      <c r="IS133" s="456"/>
      <c r="IT133" s="456"/>
      <c r="IU133" s="456"/>
      <c r="IV133" s="456"/>
      <c r="IW133" s="456"/>
      <c r="IX133" s="456"/>
      <c r="IY133" s="505" t="s">
        <v>324</v>
      </c>
      <c r="IZ133" s="505"/>
      <c r="JA133" s="505"/>
      <c r="JB133" s="505"/>
      <c r="JC133" s="505"/>
      <c r="JD133" s="505"/>
      <c r="JE133" s="603" t="s">
        <v>325</v>
      </c>
      <c r="JF133" s="603"/>
      <c r="JG133" s="603"/>
      <c r="JH133" s="603"/>
      <c r="JI133" s="603"/>
      <c r="JJ133" s="603"/>
      <c r="JK133" s="601" t="s">
        <v>272</v>
      </c>
      <c r="JL133" s="601"/>
      <c r="JM133" s="601"/>
      <c r="JN133" s="601"/>
      <c r="JO133" s="601"/>
      <c r="JP133" s="602" t="s">
        <v>282</v>
      </c>
      <c r="JQ133" s="598" t="s">
        <v>265</v>
      </c>
      <c r="JR133" s="598"/>
      <c r="JS133" s="598"/>
      <c r="JT133" s="598"/>
      <c r="JU133" s="598"/>
      <c r="JV133" s="598"/>
      <c r="JW133" s="596" t="s">
        <v>261</v>
      </c>
      <c r="JX133" s="596"/>
      <c r="JY133" s="596"/>
      <c r="JZ133" s="596"/>
      <c r="KA133" s="596"/>
      <c r="KB133" s="596"/>
      <c r="KC133" s="471" t="s">
        <v>77</v>
      </c>
      <c r="KD133" s="471"/>
      <c r="KE133" s="471"/>
      <c r="KF133" s="471"/>
    </row>
    <row r="134" spans="1:292" ht="70" hidden="1" customHeight="1">
      <c r="A134" s="170" t="s">
        <v>417</v>
      </c>
      <c r="B134" s="334">
        <v>76</v>
      </c>
      <c r="C134" s="334"/>
      <c r="D134" s="334"/>
      <c r="E134" s="334"/>
      <c r="F134" s="331" t="s">
        <v>369</v>
      </c>
      <c r="G134" s="78" t="s">
        <v>234</v>
      </c>
      <c r="H134" s="78"/>
      <c r="I134" s="71" t="s">
        <v>333</v>
      </c>
      <c r="J134" s="463"/>
      <c r="K134" s="244"/>
      <c r="L134" s="78" t="s">
        <v>55</v>
      </c>
      <c r="M134" s="577"/>
      <c r="N134" s="42"/>
      <c r="O134" s="80"/>
      <c r="P134" s="628">
        <f t="shared" si="38"/>
        <v>46887</v>
      </c>
      <c r="Q134" s="628">
        <f t="shared" si="40"/>
        <v>47083</v>
      </c>
      <c r="R134" s="452">
        <f t="shared" si="42"/>
        <v>47589</v>
      </c>
      <c r="S134" s="58"/>
      <c r="T134" s="585">
        <f t="shared" si="37"/>
        <v>47659</v>
      </c>
      <c r="U134" s="364"/>
      <c r="V134" s="271"/>
      <c r="W134" s="452" t="s">
        <v>508</v>
      </c>
      <c r="X134" s="465"/>
      <c r="Y134" s="465"/>
      <c r="Z134" s="465"/>
      <c r="AA134" s="465"/>
      <c r="AB134" s="465"/>
      <c r="AC134" s="465"/>
      <c r="AD134" s="465"/>
      <c r="AE134" s="465"/>
      <c r="AF134" s="465"/>
      <c r="AG134" s="340"/>
      <c r="AH134" s="465"/>
      <c r="AI134" s="465"/>
      <c r="AJ134" s="457"/>
      <c r="AK134" s="457"/>
      <c r="AL134" s="465"/>
      <c r="AM134" s="465"/>
      <c r="AN134" s="465"/>
      <c r="AO134" s="465"/>
      <c r="AP134" s="465"/>
      <c r="AQ134" s="465"/>
      <c r="AR134" s="465"/>
      <c r="AS134" s="7"/>
      <c r="AT134" s="7"/>
      <c r="AU134" s="456"/>
      <c r="AV134" s="340"/>
      <c r="AW134" s="465"/>
      <c r="AX134" s="456"/>
      <c r="AY134" s="465"/>
      <c r="AZ134" s="465"/>
      <c r="BA134" s="465"/>
      <c r="BB134" s="465"/>
      <c r="BC134" s="465"/>
      <c r="BD134" s="465"/>
      <c r="BE134" s="465"/>
      <c r="BF134" s="590"/>
      <c r="BG134" s="465"/>
      <c r="BH134" s="465"/>
      <c r="BI134" s="465"/>
      <c r="BJ134" s="465"/>
      <c r="BK134" s="465"/>
      <c r="BL134" s="465"/>
      <c r="BM134" s="465"/>
      <c r="BN134" s="465"/>
      <c r="BO134" s="465"/>
      <c r="BP134" s="465"/>
      <c r="BQ134" s="465"/>
      <c r="BR134" s="465"/>
      <c r="BS134" s="465"/>
      <c r="BT134" s="465"/>
      <c r="BU134" s="465"/>
      <c r="BV134" s="7"/>
      <c r="BW134" s="7"/>
      <c r="BX134" s="456"/>
      <c r="BY134" s="456"/>
      <c r="BZ134" s="456"/>
      <c r="CA134" s="7"/>
      <c r="CB134" s="465"/>
      <c r="CC134" s="465"/>
      <c r="CD134" s="465"/>
      <c r="CE134" s="465"/>
      <c r="CF134" s="7"/>
      <c r="CG134" s="7"/>
      <c r="CH134" s="465"/>
      <c r="CI134" s="7"/>
      <c r="CJ134" s="7"/>
      <c r="CK134" s="465"/>
      <c r="CL134" s="465"/>
      <c r="CM134" s="457"/>
      <c r="CN134" s="457"/>
      <c r="CO134" s="456"/>
      <c r="CP134" s="465"/>
      <c r="CQ134" s="465"/>
      <c r="CR134" s="465"/>
      <c r="CS134" s="465"/>
      <c r="CT134" s="465"/>
      <c r="CU134" s="465"/>
      <c r="CV134" s="465"/>
      <c r="CW134" s="465"/>
      <c r="CX134" s="465"/>
      <c r="CY134" s="465"/>
      <c r="CZ134" s="465"/>
      <c r="DA134" s="465"/>
      <c r="DB134" s="465"/>
      <c r="DC134" s="465"/>
      <c r="DD134" s="465"/>
      <c r="DE134" s="465"/>
      <c r="DF134" s="465"/>
      <c r="DG134" s="465"/>
      <c r="DH134" s="456"/>
      <c r="DI134" s="456"/>
      <c r="DJ134" s="456"/>
      <c r="DK134" s="456"/>
      <c r="DL134" s="456"/>
      <c r="DM134" s="456"/>
      <c r="DN134" s="456"/>
      <c r="DO134" s="456"/>
      <c r="DP134" s="456"/>
      <c r="DQ134" s="456"/>
      <c r="DR134" s="456"/>
      <c r="DS134" s="456"/>
      <c r="DT134" s="456"/>
      <c r="DU134" s="456"/>
      <c r="DV134" s="456"/>
      <c r="DW134" s="456"/>
      <c r="DX134" s="456"/>
      <c r="DY134" s="456"/>
      <c r="DZ134" s="456"/>
      <c r="EA134" s="456"/>
      <c r="EB134" s="456"/>
      <c r="EC134" s="456"/>
      <c r="ED134" s="456"/>
      <c r="EE134" s="456"/>
      <c r="EF134" s="456"/>
      <c r="EG134" s="456"/>
      <c r="EH134" s="456"/>
      <c r="EI134" s="456"/>
      <c r="EJ134" s="456"/>
      <c r="EK134" s="456"/>
      <c r="EL134" s="465"/>
      <c r="EM134" s="457"/>
      <c r="EN134" s="457"/>
      <c r="EO134" s="465"/>
      <c r="EP134" s="465"/>
      <c r="EQ134" s="465"/>
      <c r="ER134" s="465"/>
      <c r="ES134" s="465"/>
      <c r="ET134" s="465"/>
      <c r="EU134" s="465"/>
      <c r="EV134" s="465"/>
      <c r="EW134" s="465"/>
      <c r="EX134" s="465"/>
      <c r="EY134" s="465"/>
      <c r="EZ134" s="465"/>
      <c r="FA134" s="465"/>
      <c r="FB134" s="465"/>
      <c r="FC134" s="465"/>
      <c r="FD134" s="465"/>
      <c r="FE134" s="465"/>
      <c r="FF134" s="465"/>
      <c r="FG134" s="465"/>
      <c r="FH134" s="465"/>
      <c r="FI134" s="465"/>
      <c r="FJ134" s="465"/>
      <c r="FK134" s="465"/>
      <c r="FL134" s="465"/>
      <c r="FM134" s="465"/>
      <c r="FN134" s="465"/>
      <c r="FO134" s="465"/>
      <c r="FP134" s="465"/>
      <c r="FQ134" s="465"/>
      <c r="FR134" s="465"/>
      <c r="FS134" s="465"/>
      <c r="FT134" s="465"/>
      <c r="FU134" s="465"/>
      <c r="FV134" s="465"/>
      <c r="FW134" s="465"/>
      <c r="FX134" s="465"/>
      <c r="FY134" s="465"/>
      <c r="FZ134" s="465"/>
      <c r="GA134" s="465"/>
      <c r="GB134" s="465"/>
      <c r="GC134" s="465"/>
      <c r="GD134" s="465"/>
      <c r="GE134" s="465"/>
      <c r="GF134" s="465"/>
      <c r="GG134" s="465"/>
      <c r="GH134" s="465"/>
      <c r="GI134" s="465"/>
      <c r="GJ134" s="457"/>
      <c r="GK134" s="457"/>
      <c r="GL134" s="465"/>
      <c r="GO134" s="465"/>
      <c r="GP134" s="465"/>
      <c r="GQ134" s="465"/>
      <c r="GR134" s="465"/>
      <c r="GS134" s="465"/>
      <c r="GT134" s="465"/>
      <c r="GU134" s="465"/>
      <c r="GV134" s="465"/>
      <c r="GW134" s="465"/>
      <c r="GX134" s="465"/>
      <c r="GY134" s="465"/>
      <c r="GZ134" s="465"/>
      <c r="HA134" s="465"/>
      <c r="HB134" s="465"/>
      <c r="HC134" s="465"/>
      <c r="HD134" s="465"/>
      <c r="HE134" s="465"/>
      <c r="HF134" s="465"/>
      <c r="HG134" s="465"/>
      <c r="HH134" s="465"/>
      <c r="HI134" s="465"/>
      <c r="HJ134" s="465"/>
      <c r="HK134" s="465"/>
      <c r="HL134" s="465"/>
      <c r="HM134" s="465"/>
      <c r="HN134" s="465"/>
      <c r="HO134" s="465"/>
      <c r="HP134" s="465"/>
      <c r="HQ134" s="456"/>
      <c r="HR134" s="456"/>
      <c r="HS134" s="456"/>
      <c r="HT134" s="456"/>
      <c r="HU134" s="456"/>
      <c r="HV134" s="456"/>
      <c r="HW134" s="456"/>
      <c r="HX134" s="456"/>
      <c r="HY134" s="456"/>
      <c r="HZ134" s="456"/>
      <c r="IA134" s="456"/>
      <c r="IB134" s="456"/>
      <c r="IC134" s="456"/>
      <c r="ID134" s="456"/>
      <c r="IE134" s="456"/>
      <c r="IF134" s="456"/>
      <c r="IG134" s="456"/>
      <c r="IH134" s="456"/>
      <c r="II134" s="456"/>
      <c r="IJ134" s="456"/>
      <c r="IK134" s="456"/>
      <c r="IL134" s="456"/>
      <c r="IM134" s="456"/>
      <c r="IN134" s="457"/>
      <c r="IO134" s="457"/>
      <c r="IP134" s="456"/>
      <c r="IQ134" s="456"/>
      <c r="IR134" s="456"/>
      <c r="IS134" s="456"/>
      <c r="IT134" s="456"/>
      <c r="IU134" s="456"/>
      <c r="IV134" s="456"/>
      <c r="IW134" s="456"/>
      <c r="IX134" s="456"/>
      <c r="IY134" s="456"/>
      <c r="IZ134" s="456"/>
      <c r="JA134" s="456"/>
      <c r="JB134" s="456"/>
      <c r="JC134" s="456"/>
      <c r="JD134" s="456"/>
      <c r="JE134" s="505" t="s">
        <v>324</v>
      </c>
      <c r="JF134" s="505"/>
      <c r="JG134" s="505"/>
      <c r="JH134" s="505"/>
      <c r="JI134" s="505"/>
      <c r="JJ134" s="505"/>
      <c r="JK134" s="603" t="s">
        <v>325</v>
      </c>
      <c r="JL134" s="603"/>
      <c r="JM134" s="603"/>
      <c r="JN134" s="603"/>
      <c r="JO134" s="603"/>
      <c r="JP134" s="603"/>
      <c r="JQ134" s="601" t="s">
        <v>272</v>
      </c>
      <c r="JR134" s="601"/>
      <c r="JS134" s="601"/>
      <c r="JT134" s="601"/>
      <c r="JU134" s="601"/>
      <c r="JV134" s="602" t="s">
        <v>282</v>
      </c>
      <c r="JW134" s="598" t="s">
        <v>265</v>
      </c>
      <c r="JX134" s="598"/>
      <c r="JY134" s="598"/>
      <c r="JZ134" s="598"/>
      <c r="KA134" s="598"/>
      <c r="KB134" s="598"/>
      <c r="KC134" s="596" t="s">
        <v>261</v>
      </c>
      <c r="KD134" s="596"/>
      <c r="KE134" s="596"/>
      <c r="KF134" s="596"/>
    </row>
    <row r="135" spans="1:292" ht="70" hidden="1" customHeight="1">
      <c r="A135" s="170" t="s">
        <v>418</v>
      </c>
      <c r="B135" s="334">
        <v>77</v>
      </c>
      <c r="C135" s="334"/>
      <c r="D135" s="334"/>
      <c r="E135" s="334"/>
      <c r="F135" s="331" t="s">
        <v>369</v>
      </c>
      <c r="G135" s="78" t="s">
        <v>234</v>
      </c>
      <c r="H135" s="78"/>
      <c r="I135" s="71" t="s">
        <v>333</v>
      </c>
      <c r="J135" s="151"/>
      <c r="K135" s="244"/>
      <c r="L135" s="78" t="s">
        <v>55</v>
      </c>
      <c r="M135" s="78"/>
      <c r="N135" s="42"/>
      <c r="O135" s="81"/>
      <c r="P135" s="628">
        <f t="shared" si="38"/>
        <v>46915</v>
      </c>
      <c r="Q135" s="628">
        <f t="shared" si="38"/>
        <v>47111</v>
      </c>
      <c r="R135" s="452">
        <f t="shared" si="42"/>
        <v>47631</v>
      </c>
      <c r="S135" s="58"/>
      <c r="T135" s="585">
        <f t="shared" si="37"/>
        <v>47701</v>
      </c>
      <c r="U135" s="364"/>
      <c r="V135" s="271"/>
      <c r="W135" s="452" t="s">
        <v>508</v>
      </c>
      <c r="X135" s="465"/>
      <c r="Y135" s="465"/>
      <c r="Z135" s="465"/>
      <c r="AA135" s="465"/>
      <c r="AB135" s="465"/>
      <c r="AC135" s="465"/>
      <c r="AD135" s="465"/>
      <c r="AE135" s="465"/>
      <c r="AF135" s="465"/>
      <c r="AG135" s="340"/>
      <c r="AH135" s="465"/>
      <c r="AI135" s="465"/>
      <c r="AJ135" s="457"/>
      <c r="AK135" s="457"/>
      <c r="AL135" s="465"/>
      <c r="AM135" s="465"/>
      <c r="AN135" s="465"/>
      <c r="AO135" s="465"/>
      <c r="AP135" s="465"/>
      <c r="AQ135" s="465"/>
      <c r="AR135" s="465"/>
      <c r="AS135" s="7"/>
      <c r="AT135" s="7"/>
      <c r="AU135" s="456"/>
      <c r="AV135" s="340"/>
      <c r="AW135" s="465"/>
      <c r="AX135" s="456"/>
      <c r="AY135" s="465"/>
      <c r="AZ135" s="465"/>
      <c r="BA135" s="465"/>
      <c r="BB135" s="465"/>
      <c r="BC135" s="465"/>
      <c r="BD135" s="465"/>
      <c r="BE135" s="465"/>
      <c r="BF135" s="590"/>
      <c r="BG135" s="465"/>
      <c r="BH135" s="465"/>
      <c r="BI135" s="465"/>
      <c r="BJ135" s="465"/>
      <c r="BK135" s="465"/>
      <c r="BL135" s="465"/>
      <c r="BM135" s="465"/>
      <c r="BN135" s="465"/>
      <c r="BO135" s="465"/>
      <c r="BP135" s="465"/>
      <c r="BQ135" s="465"/>
      <c r="BR135" s="465"/>
      <c r="BS135" s="465"/>
      <c r="BT135" s="465"/>
      <c r="BU135" s="465"/>
      <c r="BV135" s="7"/>
      <c r="BW135" s="7"/>
      <c r="BX135" s="456"/>
      <c r="BY135" s="456"/>
      <c r="BZ135" s="456"/>
      <c r="CA135" s="7"/>
      <c r="CB135" s="465"/>
      <c r="CC135" s="465"/>
      <c r="CD135" s="465"/>
      <c r="CE135" s="465"/>
      <c r="CF135" s="7"/>
      <c r="CG135" s="7"/>
      <c r="CH135" s="465"/>
      <c r="CI135" s="7"/>
      <c r="CJ135" s="7"/>
      <c r="CK135" s="465"/>
      <c r="CL135" s="465"/>
      <c r="CM135" s="457"/>
      <c r="CN135" s="457"/>
      <c r="CO135" s="456"/>
      <c r="CP135" s="465"/>
      <c r="CQ135" s="465"/>
      <c r="CR135" s="465"/>
      <c r="CS135" s="465"/>
      <c r="CT135" s="465"/>
      <c r="CU135" s="465"/>
      <c r="CV135" s="465"/>
      <c r="CW135" s="465"/>
      <c r="CX135" s="465"/>
      <c r="CY135" s="465"/>
      <c r="CZ135" s="465"/>
      <c r="DA135" s="465"/>
      <c r="DB135" s="465"/>
      <c r="DC135" s="465"/>
      <c r="DD135" s="465"/>
      <c r="DE135" s="465"/>
      <c r="DF135" s="465"/>
      <c r="DG135" s="465"/>
      <c r="DH135" s="456"/>
      <c r="DI135" s="456"/>
      <c r="DJ135" s="456"/>
      <c r="DK135" s="456"/>
      <c r="DL135" s="456"/>
      <c r="DM135" s="456"/>
      <c r="DN135" s="456"/>
      <c r="DO135" s="456"/>
      <c r="DP135" s="456"/>
      <c r="DQ135" s="456"/>
      <c r="DR135" s="456"/>
      <c r="DS135" s="456"/>
      <c r="DT135" s="456"/>
      <c r="DU135" s="456"/>
      <c r="DV135" s="456"/>
      <c r="DW135" s="456"/>
      <c r="DX135" s="456"/>
      <c r="DY135" s="456"/>
      <c r="DZ135" s="456"/>
      <c r="EA135" s="456"/>
      <c r="EB135" s="456"/>
      <c r="EC135" s="456"/>
      <c r="ED135" s="456"/>
      <c r="EE135" s="456"/>
      <c r="EF135" s="456"/>
      <c r="EG135" s="456"/>
      <c r="EH135" s="456"/>
      <c r="EI135" s="456"/>
      <c r="EJ135" s="456"/>
      <c r="EK135" s="456"/>
      <c r="EL135" s="465"/>
      <c r="EM135" s="457"/>
      <c r="EN135" s="457"/>
      <c r="EO135" s="465"/>
      <c r="EP135" s="465"/>
      <c r="EQ135" s="465"/>
      <c r="ER135" s="465"/>
      <c r="ES135" s="465"/>
      <c r="ET135" s="465"/>
      <c r="EU135" s="465"/>
      <c r="EV135" s="465"/>
      <c r="EW135" s="465"/>
      <c r="EX135" s="465"/>
      <c r="EY135" s="465"/>
      <c r="EZ135" s="465"/>
      <c r="FA135" s="465"/>
      <c r="FB135" s="465"/>
      <c r="FC135" s="465"/>
      <c r="FD135" s="465"/>
      <c r="FE135" s="465"/>
      <c r="FF135" s="465"/>
      <c r="FG135" s="465"/>
      <c r="FH135" s="465"/>
      <c r="FI135" s="465"/>
      <c r="FJ135" s="465"/>
      <c r="FK135" s="465"/>
      <c r="FL135" s="465"/>
      <c r="FM135" s="465"/>
      <c r="FN135" s="465"/>
      <c r="FO135" s="465"/>
      <c r="FP135" s="465"/>
      <c r="FQ135" s="465"/>
      <c r="FR135" s="465"/>
      <c r="FS135" s="465"/>
      <c r="FT135" s="465"/>
      <c r="FU135" s="465"/>
      <c r="FV135" s="465"/>
      <c r="FW135" s="465"/>
      <c r="FX135" s="465"/>
      <c r="FY135" s="465"/>
      <c r="FZ135" s="465"/>
      <c r="GA135" s="465"/>
      <c r="GB135" s="465"/>
      <c r="GC135" s="465"/>
      <c r="GD135" s="465"/>
      <c r="GE135" s="465"/>
      <c r="GF135" s="465"/>
      <c r="GG135" s="465"/>
      <c r="GH135" s="465"/>
      <c r="GI135" s="465"/>
      <c r="GJ135" s="457"/>
      <c r="GK135" s="457"/>
      <c r="GL135" s="465"/>
      <c r="GO135" s="465"/>
      <c r="GP135" s="465"/>
      <c r="GQ135" s="465"/>
      <c r="GR135" s="465"/>
      <c r="GS135" s="465"/>
      <c r="GT135" s="465"/>
      <c r="GU135" s="465"/>
      <c r="GV135" s="465"/>
      <c r="GW135" s="465"/>
      <c r="GX135" s="465"/>
      <c r="GY135" s="465"/>
      <c r="GZ135" s="465"/>
      <c r="HA135" s="465"/>
      <c r="HB135" s="465"/>
      <c r="HC135" s="465"/>
      <c r="HD135" s="465"/>
      <c r="HE135" s="465"/>
      <c r="HF135" s="465"/>
      <c r="HG135" s="465"/>
      <c r="HH135" s="465"/>
      <c r="HI135" s="465"/>
      <c r="HJ135" s="465"/>
      <c r="HK135" s="465"/>
      <c r="HL135" s="465"/>
      <c r="HM135" s="465"/>
      <c r="HN135" s="465"/>
      <c r="HO135" s="465"/>
      <c r="HP135" s="465"/>
      <c r="HQ135" s="456"/>
      <c r="HR135" s="456"/>
      <c r="HS135" s="456"/>
      <c r="HT135" s="456"/>
      <c r="HU135" s="456"/>
      <c r="HV135" s="456"/>
      <c r="HW135" s="456"/>
      <c r="HX135" s="456"/>
      <c r="HY135" s="456"/>
      <c r="HZ135" s="456"/>
      <c r="IA135" s="456"/>
      <c r="IB135" s="456"/>
      <c r="IC135" s="456"/>
      <c r="ID135" s="456"/>
      <c r="IE135" s="456"/>
      <c r="IF135" s="456"/>
      <c r="IG135" s="456"/>
      <c r="IH135" s="456"/>
      <c r="II135" s="456"/>
      <c r="IJ135" s="456"/>
      <c r="IK135" s="456"/>
      <c r="IL135" s="456"/>
      <c r="IM135" s="456"/>
      <c r="IN135" s="457"/>
      <c r="IO135" s="457"/>
      <c r="IP135" s="456"/>
      <c r="IQ135" s="456"/>
      <c r="IR135" s="456"/>
      <c r="IS135" s="456"/>
      <c r="IT135" s="456"/>
      <c r="IU135" s="456"/>
      <c r="IV135" s="456"/>
      <c r="IW135" s="456"/>
      <c r="IX135" s="456"/>
      <c r="IY135" s="456"/>
      <c r="IZ135" s="456"/>
      <c r="JA135" s="456"/>
      <c r="JB135" s="456"/>
      <c r="JC135" s="456"/>
      <c r="JD135" s="456"/>
      <c r="JE135" s="456"/>
      <c r="JF135" s="456"/>
      <c r="JG135" s="456"/>
      <c r="JH135" s="456"/>
      <c r="JI135" s="456"/>
      <c r="JJ135" s="456"/>
      <c r="JK135" s="505" t="s">
        <v>324</v>
      </c>
      <c r="JL135" s="505"/>
      <c r="JM135" s="505"/>
      <c r="JN135" s="505"/>
      <c r="JO135" s="505"/>
      <c r="JP135" s="505"/>
      <c r="JQ135" s="603" t="s">
        <v>325</v>
      </c>
      <c r="JR135" s="603"/>
      <c r="JS135" s="603"/>
      <c r="JT135" s="603"/>
      <c r="JU135" s="603"/>
      <c r="JV135" s="603"/>
      <c r="JW135" s="601" t="s">
        <v>272</v>
      </c>
      <c r="JX135" s="601"/>
      <c r="JY135" s="601"/>
      <c r="JZ135" s="601"/>
      <c r="KA135" s="601"/>
      <c r="KB135" s="602" t="s">
        <v>282</v>
      </c>
      <c r="KC135" s="598" t="s">
        <v>265</v>
      </c>
      <c r="KD135" s="598"/>
      <c r="KE135" s="598"/>
      <c r="KF135" s="598"/>
    </row>
    <row r="136" spans="1:292" ht="70" hidden="1" customHeight="1">
      <c r="A136" s="170" t="s">
        <v>419</v>
      </c>
      <c r="B136" s="334">
        <v>78</v>
      </c>
      <c r="C136" s="334"/>
      <c r="D136" s="334"/>
      <c r="E136" s="334"/>
      <c r="F136" s="331" t="s">
        <v>369</v>
      </c>
      <c r="G136" s="78" t="s">
        <v>234</v>
      </c>
      <c r="H136" s="78"/>
      <c r="I136" s="71" t="s">
        <v>333</v>
      </c>
      <c r="J136" s="151"/>
      <c r="K136" s="244"/>
      <c r="L136" s="78" t="s">
        <v>55</v>
      </c>
      <c r="M136" s="78"/>
      <c r="N136" s="42"/>
      <c r="O136" s="81"/>
      <c r="P136" s="628">
        <f t="shared" ref="P136:Q138" si="43">P135+28</f>
        <v>46943</v>
      </c>
      <c r="Q136" s="628">
        <f t="shared" si="43"/>
        <v>47139</v>
      </c>
      <c r="R136" s="452">
        <f t="shared" si="42"/>
        <v>47673</v>
      </c>
      <c r="S136" s="58"/>
      <c r="T136" s="585">
        <f t="shared" si="37"/>
        <v>47743</v>
      </c>
      <c r="U136" s="364"/>
      <c r="V136" s="273"/>
      <c r="W136" s="452" t="s">
        <v>508</v>
      </c>
      <c r="X136" s="465"/>
      <c r="Y136" s="465"/>
      <c r="Z136" s="465"/>
      <c r="AA136" s="465"/>
      <c r="AB136" s="465"/>
      <c r="AC136" s="465"/>
      <c r="AD136" s="465"/>
      <c r="AE136" s="465"/>
      <c r="AF136" s="465"/>
      <c r="AG136" s="340"/>
      <c r="AH136" s="465"/>
      <c r="AI136" s="465"/>
      <c r="AJ136" s="457"/>
      <c r="AK136" s="457"/>
      <c r="AL136" s="465"/>
      <c r="AM136" s="465"/>
      <c r="AN136" s="465"/>
      <c r="AO136" s="465"/>
      <c r="AP136" s="465"/>
      <c r="AQ136" s="465"/>
      <c r="AR136" s="465"/>
      <c r="AS136" s="7"/>
      <c r="AT136" s="7"/>
      <c r="AU136" s="456"/>
      <c r="AV136" s="340"/>
      <c r="AW136" s="465"/>
      <c r="AX136" s="456"/>
      <c r="AY136" s="465"/>
      <c r="AZ136" s="465"/>
      <c r="BA136" s="465"/>
      <c r="BB136" s="465"/>
      <c r="BC136" s="465"/>
      <c r="BD136" s="465"/>
      <c r="BE136" s="465"/>
      <c r="BF136" s="590"/>
      <c r="BG136" s="465"/>
      <c r="BH136" s="465"/>
      <c r="BI136" s="465"/>
      <c r="BJ136" s="465"/>
      <c r="BK136" s="465"/>
      <c r="BL136" s="465"/>
      <c r="BM136" s="465"/>
      <c r="BN136" s="465"/>
      <c r="BO136" s="465"/>
      <c r="BP136" s="465"/>
      <c r="BQ136" s="465"/>
      <c r="BR136" s="465"/>
      <c r="BS136" s="465"/>
      <c r="BT136" s="465"/>
      <c r="BU136" s="465"/>
      <c r="BV136" s="7"/>
      <c r="BW136" s="7"/>
      <c r="BX136" s="456"/>
      <c r="BY136" s="456"/>
      <c r="BZ136" s="456"/>
      <c r="CA136" s="7"/>
      <c r="CB136" s="465"/>
      <c r="CC136" s="465"/>
      <c r="CD136" s="465"/>
      <c r="CE136" s="465"/>
      <c r="CF136" s="7"/>
      <c r="CG136" s="7"/>
      <c r="CH136" s="465"/>
      <c r="CI136" s="7"/>
      <c r="CJ136" s="7"/>
      <c r="CK136" s="465"/>
      <c r="CL136" s="465"/>
      <c r="CM136" s="457"/>
      <c r="CN136" s="457"/>
      <c r="CO136" s="456"/>
      <c r="CP136" s="465"/>
      <c r="CQ136" s="465"/>
      <c r="CR136" s="465"/>
      <c r="CS136" s="465"/>
      <c r="CT136" s="465"/>
      <c r="CU136" s="465"/>
      <c r="CV136" s="465"/>
      <c r="CW136" s="465"/>
      <c r="CX136" s="465"/>
      <c r="CY136" s="465"/>
      <c r="CZ136" s="465"/>
      <c r="DA136" s="465"/>
      <c r="DB136" s="465"/>
      <c r="DC136" s="465"/>
      <c r="DD136" s="465"/>
      <c r="DE136" s="465"/>
      <c r="DF136" s="465"/>
      <c r="DG136" s="465"/>
      <c r="DH136" s="456"/>
      <c r="DI136" s="456"/>
      <c r="DJ136" s="456"/>
      <c r="DK136" s="456"/>
      <c r="DL136" s="456"/>
      <c r="DM136" s="456"/>
      <c r="DN136" s="456"/>
      <c r="DO136" s="456"/>
      <c r="DP136" s="456"/>
      <c r="DQ136" s="456"/>
      <c r="DR136" s="456"/>
      <c r="DS136" s="456"/>
      <c r="DT136" s="456"/>
      <c r="DU136" s="456"/>
      <c r="DV136" s="456"/>
      <c r="DW136" s="456"/>
      <c r="DX136" s="456"/>
      <c r="DY136" s="456"/>
      <c r="DZ136" s="456"/>
      <c r="EA136" s="456"/>
      <c r="EB136" s="456"/>
      <c r="EC136" s="456"/>
      <c r="ED136" s="456"/>
      <c r="EE136" s="456"/>
      <c r="EF136" s="456"/>
      <c r="EG136" s="456"/>
      <c r="EH136" s="456"/>
      <c r="EI136" s="456"/>
      <c r="EJ136" s="456"/>
      <c r="EK136" s="456"/>
      <c r="EL136" s="465"/>
      <c r="EM136" s="457"/>
      <c r="EN136" s="457"/>
      <c r="EO136" s="465"/>
      <c r="EP136" s="465"/>
      <c r="EQ136" s="465"/>
      <c r="ER136" s="465"/>
      <c r="ES136" s="465"/>
      <c r="ET136" s="465"/>
      <c r="EU136" s="465"/>
      <c r="EV136" s="465"/>
      <c r="EW136" s="465"/>
      <c r="EX136" s="465"/>
      <c r="EY136" s="465"/>
      <c r="EZ136" s="465"/>
      <c r="FA136" s="465"/>
      <c r="FB136" s="465"/>
      <c r="FC136" s="465"/>
      <c r="FD136" s="465"/>
      <c r="FE136" s="465"/>
      <c r="FF136" s="465"/>
      <c r="FG136" s="465"/>
      <c r="FH136" s="465"/>
      <c r="FI136" s="465"/>
      <c r="FJ136" s="465"/>
      <c r="FK136" s="465"/>
      <c r="FL136" s="465"/>
      <c r="FM136" s="465"/>
      <c r="FN136" s="465"/>
      <c r="FO136" s="465"/>
      <c r="FP136" s="465"/>
      <c r="FQ136" s="465"/>
      <c r="FR136" s="465"/>
      <c r="FS136" s="465"/>
      <c r="FT136" s="465"/>
      <c r="FU136" s="465"/>
      <c r="FV136" s="465"/>
      <c r="FW136" s="465"/>
      <c r="FX136" s="465"/>
      <c r="FY136" s="465"/>
      <c r="FZ136" s="465"/>
      <c r="GA136" s="465"/>
      <c r="GB136" s="465"/>
      <c r="GC136" s="465"/>
      <c r="GD136" s="465"/>
      <c r="GE136" s="465"/>
      <c r="GF136" s="465"/>
      <c r="GG136" s="465"/>
      <c r="GH136" s="465"/>
      <c r="GI136" s="465"/>
      <c r="GJ136" s="457"/>
      <c r="GK136" s="457"/>
      <c r="GL136" s="465"/>
      <c r="GO136" s="465"/>
      <c r="GP136" s="465"/>
      <c r="GQ136" s="465"/>
      <c r="GR136" s="465"/>
      <c r="GS136" s="465"/>
      <c r="GT136" s="465"/>
      <c r="GU136" s="465"/>
      <c r="GV136" s="465"/>
      <c r="GW136" s="465"/>
      <c r="GX136" s="465"/>
      <c r="GY136" s="465"/>
      <c r="GZ136" s="465"/>
      <c r="HA136" s="465"/>
      <c r="HB136" s="465"/>
      <c r="HC136" s="465"/>
      <c r="HD136" s="465"/>
      <c r="HE136" s="465"/>
      <c r="HF136" s="465"/>
      <c r="HG136" s="465"/>
      <c r="HH136" s="465"/>
      <c r="HI136" s="465"/>
      <c r="HJ136" s="465"/>
      <c r="HK136" s="465"/>
      <c r="HL136" s="465"/>
      <c r="HM136" s="465"/>
      <c r="HN136" s="465"/>
      <c r="HO136" s="465"/>
      <c r="HP136" s="465"/>
      <c r="HQ136" s="456"/>
      <c r="HR136" s="456"/>
      <c r="HS136" s="456"/>
      <c r="HT136" s="456"/>
      <c r="HU136" s="456"/>
      <c r="HV136" s="456"/>
      <c r="HW136" s="456"/>
      <c r="HX136" s="456"/>
      <c r="HY136" s="456"/>
      <c r="HZ136" s="456"/>
      <c r="IA136" s="456"/>
      <c r="IB136" s="456"/>
      <c r="IC136" s="456"/>
      <c r="ID136" s="456"/>
      <c r="IE136" s="456"/>
      <c r="IF136" s="456"/>
      <c r="IG136" s="456"/>
      <c r="IH136" s="456"/>
      <c r="II136" s="456"/>
      <c r="IJ136" s="456"/>
      <c r="IK136" s="456"/>
      <c r="IL136" s="456"/>
      <c r="IM136" s="456"/>
      <c r="IN136" s="457"/>
      <c r="IO136" s="457"/>
      <c r="IP136" s="456"/>
      <c r="IQ136" s="456"/>
      <c r="IR136" s="456"/>
      <c r="IS136" s="456"/>
      <c r="IT136" s="456"/>
      <c r="IU136" s="456"/>
      <c r="IV136" s="456"/>
      <c r="IW136" s="456"/>
      <c r="IX136" s="456"/>
      <c r="IY136" s="456"/>
      <c r="IZ136" s="456"/>
      <c r="JA136" s="456"/>
      <c r="JB136" s="456"/>
      <c r="JC136" s="456"/>
      <c r="JD136" s="456"/>
      <c r="JE136" s="456"/>
      <c r="JF136" s="456"/>
      <c r="JG136" s="456"/>
      <c r="JH136" s="456"/>
      <c r="JI136" s="456"/>
      <c r="JJ136" s="456"/>
      <c r="JK136" s="456"/>
      <c r="JL136" s="456"/>
      <c r="JM136" s="456"/>
      <c r="JN136" s="456"/>
      <c r="JO136" s="456"/>
      <c r="JP136" s="456"/>
      <c r="JQ136" s="505" t="s">
        <v>324</v>
      </c>
      <c r="JR136" s="505"/>
      <c r="JS136" s="505"/>
      <c r="JT136" s="505"/>
      <c r="JU136" s="505"/>
      <c r="JV136" s="505"/>
      <c r="JW136" s="603" t="s">
        <v>325</v>
      </c>
      <c r="JX136" s="603"/>
      <c r="JY136" s="603"/>
      <c r="JZ136" s="603"/>
      <c r="KA136" s="603"/>
      <c r="KB136" s="603"/>
      <c r="KC136" s="601" t="s">
        <v>272</v>
      </c>
      <c r="KD136" s="601"/>
      <c r="KE136" s="601"/>
      <c r="KF136" s="601"/>
    </row>
    <row r="137" spans="1:292" ht="70" hidden="1" customHeight="1">
      <c r="A137" s="170" t="s">
        <v>420</v>
      </c>
      <c r="B137" s="334">
        <v>79</v>
      </c>
      <c r="C137" s="334"/>
      <c r="D137" s="334"/>
      <c r="E137" s="334"/>
      <c r="F137" s="331" t="s">
        <v>369</v>
      </c>
      <c r="G137" s="78" t="s">
        <v>234</v>
      </c>
      <c r="H137" s="78"/>
      <c r="I137" s="71" t="s">
        <v>333</v>
      </c>
      <c r="J137" s="154"/>
      <c r="K137" s="244"/>
      <c r="L137" s="78" t="s">
        <v>55</v>
      </c>
      <c r="M137" s="77"/>
      <c r="N137" s="42"/>
      <c r="O137" s="81"/>
      <c r="P137" s="628">
        <f t="shared" si="43"/>
        <v>46971</v>
      </c>
      <c r="Q137" s="628">
        <f t="shared" si="43"/>
        <v>47167</v>
      </c>
      <c r="R137" s="452"/>
      <c r="S137" s="58"/>
      <c r="T137" s="585">
        <f t="shared" si="37"/>
        <v>47785</v>
      </c>
      <c r="U137" s="364"/>
      <c r="V137" s="271"/>
      <c r="W137" s="452" t="s">
        <v>508</v>
      </c>
      <c r="X137" s="465"/>
      <c r="Y137" s="465"/>
      <c r="Z137" s="465"/>
      <c r="AA137" s="465"/>
      <c r="AB137" s="465"/>
      <c r="AC137" s="465"/>
      <c r="AD137" s="465"/>
      <c r="AE137" s="465"/>
      <c r="AF137" s="465"/>
      <c r="AG137" s="340"/>
      <c r="AH137" s="465"/>
      <c r="AI137" s="465"/>
      <c r="AJ137" s="457"/>
      <c r="AK137" s="457"/>
      <c r="AL137" s="465"/>
      <c r="AM137" s="465"/>
      <c r="AN137" s="465"/>
      <c r="AO137" s="465"/>
      <c r="AP137" s="465"/>
      <c r="AQ137" s="465"/>
      <c r="AR137" s="465"/>
      <c r="AS137" s="7"/>
      <c r="AT137" s="7"/>
      <c r="AU137" s="456"/>
      <c r="AV137" s="340"/>
      <c r="AW137" s="465"/>
      <c r="AX137" s="456"/>
      <c r="AY137" s="465"/>
      <c r="AZ137" s="465"/>
      <c r="BA137" s="465"/>
      <c r="BB137" s="465"/>
      <c r="BC137" s="465"/>
      <c r="BD137" s="465"/>
      <c r="BE137" s="465"/>
      <c r="BF137" s="590"/>
      <c r="BG137" s="465"/>
      <c r="BH137" s="465"/>
      <c r="BI137" s="465"/>
      <c r="BJ137" s="465"/>
      <c r="BK137" s="465"/>
      <c r="BL137" s="465"/>
      <c r="BM137" s="465"/>
      <c r="BN137" s="465"/>
      <c r="BO137" s="465"/>
      <c r="BP137" s="465"/>
      <c r="BQ137" s="465"/>
      <c r="BR137" s="465"/>
      <c r="BS137" s="465"/>
      <c r="BT137" s="465"/>
      <c r="BU137" s="465"/>
      <c r="BV137" s="7"/>
      <c r="BW137" s="7"/>
      <c r="BX137" s="456"/>
      <c r="BY137" s="456"/>
      <c r="BZ137" s="456"/>
      <c r="CA137" s="7"/>
      <c r="CB137" s="465"/>
      <c r="CC137" s="465"/>
      <c r="CD137" s="465"/>
      <c r="CE137" s="465"/>
      <c r="CF137" s="7"/>
      <c r="CG137" s="7"/>
      <c r="CH137" s="465"/>
      <c r="CI137" s="7"/>
      <c r="CJ137" s="7"/>
      <c r="CK137" s="465"/>
      <c r="CL137" s="465"/>
      <c r="CM137" s="457"/>
      <c r="CN137" s="457"/>
      <c r="CO137" s="456"/>
      <c r="CP137" s="465"/>
      <c r="CQ137" s="465"/>
      <c r="CR137" s="465"/>
      <c r="CS137" s="465"/>
      <c r="CT137" s="465"/>
      <c r="CU137" s="465"/>
      <c r="CV137" s="465"/>
      <c r="CW137" s="465"/>
      <c r="CX137" s="465"/>
      <c r="CY137" s="465"/>
      <c r="CZ137" s="465"/>
      <c r="DA137" s="465"/>
      <c r="DB137" s="465"/>
      <c r="DC137" s="465"/>
      <c r="DD137" s="465"/>
      <c r="DE137" s="465"/>
      <c r="DF137" s="465"/>
      <c r="DG137" s="465"/>
      <c r="DH137" s="456"/>
      <c r="DI137" s="456"/>
      <c r="DJ137" s="456"/>
      <c r="DK137" s="456"/>
      <c r="DL137" s="456"/>
      <c r="DM137" s="456"/>
      <c r="DN137" s="456"/>
      <c r="DO137" s="456"/>
      <c r="DP137" s="456"/>
      <c r="DQ137" s="456"/>
      <c r="DR137" s="456"/>
      <c r="DS137" s="456"/>
      <c r="DT137" s="456"/>
      <c r="DU137" s="456"/>
      <c r="DV137" s="456"/>
      <c r="DW137" s="456"/>
      <c r="DX137" s="456"/>
      <c r="DY137" s="456"/>
      <c r="DZ137" s="456"/>
      <c r="EA137" s="456"/>
      <c r="EB137" s="456"/>
      <c r="EC137" s="456"/>
      <c r="ED137" s="456"/>
      <c r="EE137" s="456"/>
      <c r="EF137" s="456"/>
      <c r="EG137" s="456"/>
      <c r="EH137" s="456"/>
      <c r="EI137" s="456"/>
      <c r="EJ137" s="456"/>
      <c r="EK137" s="456"/>
      <c r="EL137" s="465"/>
      <c r="EM137" s="457"/>
      <c r="EN137" s="457"/>
      <c r="EO137" s="465"/>
      <c r="EP137" s="465"/>
      <c r="EQ137" s="465"/>
      <c r="ER137" s="465"/>
      <c r="ES137" s="465"/>
      <c r="ET137" s="465"/>
      <c r="EU137" s="465"/>
      <c r="EV137" s="465"/>
      <c r="EW137" s="465"/>
      <c r="EX137" s="465"/>
      <c r="EY137" s="465"/>
      <c r="EZ137" s="465"/>
      <c r="FA137" s="465"/>
      <c r="FB137" s="465"/>
      <c r="FC137" s="465"/>
      <c r="FD137" s="465"/>
      <c r="FE137" s="465"/>
      <c r="FF137" s="465"/>
      <c r="FG137" s="465"/>
      <c r="FH137" s="465"/>
      <c r="FI137" s="465"/>
      <c r="FJ137" s="465"/>
      <c r="FK137" s="465"/>
      <c r="FL137" s="465"/>
      <c r="FM137" s="465"/>
      <c r="FN137" s="465"/>
      <c r="FO137" s="465"/>
      <c r="FP137" s="465"/>
      <c r="FQ137" s="465"/>
      <c r="FR137" s="465"/>
      <c r="FS137" s="465"/>
      <c r="FT137" s="465"/>
      <c r="FU137" s="465"/>
      <c r="FV137" s="465"/>
      <c r="FW137" s="465"/>
      <c r="FX137" s="465"/>
      <c r="FY137" s="465"/>
      <c r="FZ137" s="465"/>
      <c r="GA137" s="465"/>
      <c r="GB137" s="465"/>
      <c r="GC137" s="465"/>
      <c r="GD137" s="465"/>
      <c r="GE137" s="465"/>
      <c r="GF137" s="465"/>
      <c r="GG137" s="465"/>
      <c r="GH137" s="465"/>
      <c r="GI137" s="465"/>
      <c r="GJ137" s="457"/>
      <c r="GK137" s="457"/>
      <c r="GL137" s="465"/>
      <c r="GO137" s="465"/>
      <c r="GP137" s="465"/>
      <c r="GQ137" s="465"/>
      <c r="GR137" s="465"/>
      <c r="GS137" s="465"/>
      <c r="GT137" s="465"/>
      <c r="GU137" s="465"/>
      <c r="GV137" s="465"/>
      <c r="GW137" s="465"/>
      <c r="GX137" s="465"/>
      <c r="GY137" s="465"/>
      <c r="GZ137" s="465"/>
      <c r="HA137" s="465"/>
      <c r="HB137" s="465"/>
      <c r="HC137" s="465"/>
      <c r="HD137" s="465"/>
      <c r="HE137" s="465"/>
      <c r="HF137" s="465"/>
      <c r="HG137" s="465"/>
      <c r="HH137" s="465"/>
      <c r="HI137" s="465"/>
      <c r="HJ137" s="465"/>
      <c r="HK137" s="465"/>
      <c r="HL137" s="465"/>
      <c r="HM137" s="465"/>
      <c r="HN137" s="465"/>
      <c r="HO137" s="465"/>
      <c r="HP137" s="465"/>
      <c r="HQ137" s="456"/>
      <c r="HR137" s="456"/>
      <c r="HS137" s="456"/>
      <c r="HT137" s="456"/>
      <c r="HU137" s="456"/>
      <c r="HV137" s="456"/>
      <c r="HW137" s="456"/>
      <c r="HX137" s="456"/>
      <c r="HY137" s="456"/>
      <c r="HZ137" s="456"/>
      <c r="IA137" s="456"/>
      <c r="IB137" s="456"/>
      <c r="IC137" s="456"/>
      <c r="ID137" s="456"/>
      <c r="IE137" s="456"/>
      <c r="IF137" s="456"/>
      <c r="IG137" s="456"/>
      <c r="IH137" s="456"/>
      <c r="II137" s="456"/>
      <c r="IJ137" s="456"/>
      <c r="IK137" s="456"/>
      <c r="IL137" s="456"/>
      <c r="IM137" s="456"/>
      <c r="IN137" s="457"/>
      <c r="IO137" s="457"/>
      <c r="IP137" s="456"/>
      <c r="IQ137" s="456"/>
      <c r="IR137" s="456"/>
      <c r="IS137" s="456"/>
      <c r="IT137" s="456"/>
      <c r="IU137" s="456"/>
      <c r="IV137" s="456"/>
      <c r="IW137" s="456"/>
      <c r="IX137" s="456"/>
      <c r="IY137" s="456"/>
      <c r="IZ137" s="456"/>
      <c r="JA137" s="456"/>
      <c r="JB137" s="456"/>
      <c r="JC137" s="456"/>
      <c r="JD137" s="456"/>
      <c r="JE137" s="456"/>
      <c r="JF137" s="456"/>
      <c r="JG137" s="456"/>
      <c r="JH137" s="456"/>
      <c r="JI137" s="456"/>
      <c r="JJ137" s="456"/>
      <c r="JK137" s="456"/>
      <c r="JL137" s="456"/>
      <c r="JM137" s="456"/>
      <c r="JN137" s="456"/>
      <c r="JO137" s="456"/>
      <c r="JP137" s="456"/>
      <c r="JQ137" s="456"/>
      <c r="JR137" s="456"/>
      <c r="JS137" s="456"/>
      <c r="JT137" s="456"/>
      <c r="JU137" s="456"/>
      <c r="JV137" s="456"/>
      <c r="JW137" s="505" t="s">
        <v>324</v>
      </c>
      <c r="JX137" s="505"/>
      <c r="JY137" s="505"/>
      <c r="JZ137" s="505"/>
      <c r="KA137" s="505"/>
      <c r="KB137" s="505"/>
      <c r="KC137" s="603" t="s">
        <v>325</v>
      </c>
      <c r="KD137" s="603"/>
      <c r="KE137" s="603"/>
      <c r="KF137" s="603"/>
    </row>
    <row r="138" spans="1:292" ht="70" hidden="1" customHeight="1">
      <c r="A138" s="170" t="s">
        <v>421</v>
      </c>
      <c r="B138" s="334">
        <v>80</v>
      </c>
      <c r="C138" s="334"/>
      <c r="D138" s="334"/>
      <c r="E138" s="334"/>
      <c r="F138" s="331"/>
      <c r="G138" s="77"/>
      <c r="H138" s="77"/>
      <c r="I138" s="69"/>
      <c r="J138" s="154"/>
      <c r="K138" s="245"/>
      <c r="L138" s="77"/>
      <c r="M138" s="77"/>
      <c r="N138" s="42"/>
      <c r="O138" s="81"/>
      <c r="P138" s="526"/>
      <c r="Q138" s="628">
        <f t="shared" si="43"/>
        <v>47195</v>
      </c>
      <c r="R138" s="452"/>
      <c r="S138" s="58"/>
      <c r="T138" s="585">
        <f t="shared" si="37"/>
        <v>47827</v>
      </c>
      <c r="U138" s="364"/>
      <c r="V138" s="271"/>
      <c r="W138" s="452" t="s">
        <v>508</v>
      </c>
      <c r="X138" s="465"/>
      <c r="Y138" s="465"/>
      <c r="Z138" s="465"/>
      <c r="AA138" s="465"/>
      <c r="AB138" s="465"/>
      <c r="AC138" s="465"/>
      <c r="AD138" s="465"/>
      <c r="AE138" s="465"/>
      <c r="AF138" s="465"/>
      <c r="AG138" s="340"/>
      <c r="AH138" s="465"/>
      <c r="AI138" s="465"/>
      <c r="AJ138" s="457"/>
      <c r="AK138" s="457"/>
      <c r="AL138" s="465"/>
      <c r="AM138" s="465"/>
      <c r="AN138" s="465"/>
      <c r="AO138" s="465"/>
      <c r="AP138" s="608"/>
      <c r="AQ138" s="608"/>
      <c r="AR138" s="608"/>
      <c r="AS138" s="27"/>
      <c r="AT138" s="27"/>
      <c r="AU138" s="547"/>
      <c r="AV138" s="367"/>
      <c r="AW138" s="608"/>
      <c r="AY138" s="608"/>
      <c r="AZ138" s="608"/>
      <c r="BA138" s="608"/>
      <c r="BB138" s="608"/>
      <c r="BC138" s="608"/>
      <c r="BD138" s="608"/>
      <c r="BE138" s="608"/>
      <c r="BF138" s="633"/>
      <c r="BG138" s="608"/>
      <c r="BH138" s="608"/>
      <c r="BI138" s="608"/>
      <c r="BJ138" s="608"/>
      <c r="BK138" s="465"/>
      <c r="BL138" s="465"/>
      <c r="BM138" s="465"/>
      <c r="BN138" s="465"/>
      <c r="BO138" s="465"/>
      <c r="BP138" s="465"/>
      <c r="BQ138" s="465"/>
      <c r="BR138" s="465"/>
      <c r="BS138" s="465"/>
      <c r="BT138" s="465"/>
      <c r="BU138" s="465"/>
      <c r="BV138" s="7"/>
      <c r="BW138" s="7"/>
      <c r="BX138" s="456"/>
      <c r="BY138" s="456"/>
      <c r="BZ138" s="456"/>
      <c r="CA138" s="7"/>
      <c r="CB138" s="465"/>
      <c r="CC138" s="465"/>
      <c r="CD138" s="465"/>
      <c r="CE138" s="465"/>
      <c r="CF138" s="7"/>
      <c r="CG138" s="7"/>
      <c r="CH138" s="465"/>
      <c r="CI138" s="7"/>
      <c r="CJ138" s="7"/>
      <c r="CK138" s="465"/>
      <c r="CL138" s="465"/>
      <c r="CM138" s="457"/>
      <c r="CN138" s="457"/>
      <c r="CO138" s="456"/>
      <c r="CP138" s="465"/>
      <c r="CQ138" s="465"/>
      <c r="CR138" s="465"/>
      <c r="CS138" s="465"/>
      <c r="CT138" s="465"/>
      <c r="CU138" s="465"/>
      <c r="CV138" s="465"/>
      <c r="CW138" s="465"/>
      <c r="CX138" s="465"/>
      <c r="CY138" s="465"/>
      <c r="CZ138" s="465"/>
      <c r="DA138" s="465"/>
      <c r="DB138" s="465"/>
      <c r="DC138" s="465"/>
      <c r="DD138" s="465"/>
      <c r="DE138" s="465"/>
      <c r="DF138" s="465"/>
      <c r="DG138" s="465"/>
      <c r="DH138" s="456"/>
      <c r="DI138" s="456"/>
      <c r="DJ138" s="456"/>
      <c r="DK138" s="456"/>
      <c r="DL138" s="456"/>
      <c r="DM138" s="456"/>
      <c r="DN138" s="456"/>
      <c r="DO138" s="456"/>
      <c r="DP138" s="456"/>
      <c r="DQ138" s="456"/>
      <c r="DR138" s="456"/>
      <c r="DS138" s="456"/>
      <c r="DT138" s="456"/>
      <c r="DU138" s="456"/>
      <c r="DV138" s="456"/>
      <c r="DW138" s="456"/>
      <c r="DX138" s="456"/>
      <c r="DY138" s="456"/>
      <c r="DZ138" s="456"/>
      <c r="EA138" s="456"/>
      <c r="EB138" s="456"/>
      <c r="EC138" s="456"/>
      <c r="ED138" s="456"/>
      <c r="EE138" s="456"/>
      <c r="EF138" s="456"/>
      <c r="EG138" s="456"/>
      <c r="EH138" s="456"/>
      <c r="EI138" s="456"/>
      <c r="EJ138" s="456"/>
      <c r="EK138" s="456"/>
      <c r="EL138" s="465"/>
      <c r="EM138" s="457"/>
      <c r="EN138" s="457"/>
      <c r="EO138" s="465"/>
      <c r="EP138" s="465"/>
      <c r="EQ138" s="465"/>
      <c r="ER138" s="465"/>
      <c r="ES138" s="465"/>
      <c r="ET138" s="465"/>
      <c r="EU138" s="465"/>
      <c r="EV138" s="465"/>
      <c r="EW138" s="465"/>
      <c r="EX138" s="465"/>
      <c r="EY138" s="465"/>
      <c r="EZ138" s="465"/>
      <c r="FA138" s="465"/>
      <c r="FB138" s="465"/>
      <c r="FC138" s="465"/>
      <c r="FD138" s="465"/>
      <c r="FE138" s="465"/>
      <c r="FF138" s="465"/>
      <c r="FG138" s="465"/>
      <c r="FH138" s="465"/>
      <c r="FI138" s="465"/>
      <c r="FJ138" s="465"/>
      <c r="FK138" s="465"/>
      <c r="FL138" s="465"/>
      <c r="FM138" s="465"/>
      <c r="FN138" s="465"/>
      <c r="FO138" s="465"/>
      <c r="FP138" s="465"/>
      <c r="FQ138" s="465"/>
      <c r="FR138" s="465"/>
      <c r="FS138" s="465"/>
      <c r="FT138" s="465"/>
      <c r="FU138" s="465"/>
      <c r="FV138" s="465"/>
      <c r="FW138" s="465"/>
      <c r="FX138" s="465"/>
      <c r="FY138" s="465"/>
      <c r="FZ138" s="465"/>
      <c r="GA138" s="465"/>
      <c r="GB138" s="465"/>
      <c r="GC138" s="465"/>
      <c r="GD138" s="465"/>
      <c r="GE138" s="465"/>
      <c r="GF138" s="465"/>
      <c r="GG138" s="465"/>
      <c r="GH138" s="465"/>
      <c r="GI138" s="465"/>
      <c r="GJ138" s="457"/>
      <c r="GK138" s="457"/>
      <c r="GL138" s="465"/>
      <c r="GO138" s="608"/>
      <c r="GP138" s="608"/>
      <c r="GQ138" s="608"/>
      <c r="GR138" s="608"/>
      <c r="GS138" s="608"/>
      <c r="GT138" s="608"/>
      <c r="GU138" s="608"/>
      <c r="GV138" s="608"/>
      <c r="GW138" s="465"/>
      <c r="GX138" s="465"/>
      <c r="GY138" s="465"/>
      <c r="GZ138" s="465"/>
      <c r="HA138" s="465"/>
      <c r="HB138" s="465"/>
      <c r="HC138" s="465"/>
      <c r="HD138" s="465"/>
      <c r="HE138" s="465"/>
      <c r="HF138" s="465"/>
      <c r="HG138" s="465"/>
      <c r="HH138" s="465"/>
      <c r="HI138" s="465"/>
      <c r="HJ138" s="465"/>
      <c r="HK138" s="465"/>
      <c r="HL138" s="465"/>
      <c r="HM138" s="465"/>
      <c r="HN138" s="465"/>
      <c r="HO138" s="465"/>
      <c r="HP138" s="465"/>
      <c r="HQ138" s="456"/>
      <c r="HR138" s="456"/>
      <c r="HS138" s="456"/>
      <c r="HT138" s="456"/>
      <c r="HU138" s="456"/>
      <c r="HV138" s="456"/>
      <c r="HW138" s="456"/>
      <c r="HX138" s="456"/>
      <c r="HY138" s="456"/>
      <c r="HZ138" s="456"/>
      <c r="IA138" s="456"/>
      <c r="IB138" s="456"/>
      <c r="IC138" s="456"/>
      <c r="ID138" s="456"/>
      <c r="IE138" s="456"/>
      <c r="IF138" s="456"/>
      <c r="IG138" s="456"/>
      <c r="IH138" s="456"/>
      <c r="II138" s="456"/>
      <c r="IJ138" s="456"/>
      <c r="IK138" s="456"/>
      <c r="IL138" s="456"/>
      <c r="IM138" s="456"/>
      <c r="IN138" s="457"/>
      <c r="IO138" s="457"/>
      <c r="IP138" s="456"/>
      <c r="IQ138" s="456"/>
      <c r="IR138" s="456"/>
      <c r="IS138" s="456"/>
      <c r="IT138" s="456"/>
      <c r="IU138" s="456"/>
      <c r="IV138" s="456"/>
      <c r="IW138" s="456"/>
      <c r="IX138" s="456"/>
      <c r="IY138" s="456"/>
      <c r="IZ138" s="456"/>
      <c r="JA138" s="456"/>
      <c r="JB138" s="456"/>
      <c r="JC138" s="456"/>
      <c r="JD138" s="456"/>
      <c r="JE138" s="456"/>
      <c r="JF138" s="456"/>
      <c r="JG138" s="456"/>
      <c r="JH138" s="456"/>
      <c r="JI138" s="456"/>
      <c r="JJ138" s="456"/>
      <c r="JK138" s="456"/>
      <c r="JL138" s="456"/>
      <c r="JM138" s="456"/>
      <c r="JN138" s="456"/>
      <c r="JO138" s="456"/>
      <c r="JP138" s="456"/>
      <c r="JQ138" s="456"/>
      <c r="JR138" s="456"/>
      <c r="JS138" s="456"/>
      <c r="JT138" s="456"/>
      <c r="JU138" s="456"/>
      <c r="JV138" s="456"/>
      <c r="JW138" s="456"/>
      <c r="JX138" s="456"/>
      <c r="JY138" s="456"/>
      <c r="JZ138" s="456"/>
      <c r="KA138" s="456"/>
      <c r="KB138" s="456"/>
      <c r="KC138" s="505" t="s">
        <v>324</v>
      </c>
      <c r="KD138" s="505"/>
      <c r="KE138" s="505"/>
      <c r="KF138" s="505"/>
    </row>
    <row r="139" spans="1:292" ht="70" hidden="1" customHeight="1">
      <c r="A139" s="368" t="s">
        <v>422</v>
      </c>
      <c r="B139" s="334">
        <v>81</v>
      </c>
      <c r="C139" s="334"/>
      <c r="D139" s="334"/>
      <c r="E139" s="334"/>
      <c r="F139" s="331"/>
      <c r="G139" s="77"/>
      <c r="N139" s="144"/>
      <c r="U139" s="364">
        <f t="shared" si="29"/>
        <v>0</v>
      </c>
    </row>
    <row r="140" spans="1:292" ht="70" hidden="1" customHeight="1">
      <c r="A140" s="368" t="s">
        <v>423</v>
      </c>
      <c r="B140" s="334"/>
      <c r="C140" s="334"/>
      <c r="D140" s="334"/>
      <c r="E140" s="334"/>
      <c r="F140" s="331"/>
      <c r="G140" s="77"/>
      <c r="N140" s="144"/>
      <c r="U140" s="364">
        <f t="shared" si="29"/>
        <v>0</v>
      </c>
    </row>
    <row r="141" spans="1:292" ht="70" hidden="1" customHeight="1">
      <c r="A141" s="368" t="s">
        <v>424</v>
      </c>
      <c r="B141" s="334"/>
      <c r="C141" s="334"/>
      <c r="D141" s="334"/>
      <c r="E141" s="334"/>
      <c r="F141" s="331"/>
      <c r="G141" s="77"/>
      <c r="N141" s="144"/>
      <c r="U141" s="364">
        <f t="shared" si="29"/>
        <v>0</v>
      </c>
    </row>
    <row r="142" spans="1:292" ht="70" hidden="1" customHeight="1">
      <c r="A142" s="368" t="s">
        <v>425</v>
      </c>
      <c r="B142" s="334"/>
      <c r="C142" s="334"/>
      <c r="D142" s="334"/>
      <c r="E142" s="334"/>
      <c r="F142" s="331"/>
      <c r="G142" s="77"/>
      <c r="N142" s="144"/>
      <c r="U142" s="364">
        <f t="shared" si="29"/>
        <v>0</v>
      </c>
    </row>
    <row r="143" spans="1:292" ht="70" hidden="1" customHeight="1">
      <c r="A143" s="368" t="s">
        <v>426</v>
      </c>
      <c r="B143" s="334"/>
      <c r="C143" s="334"/>
      <c r="D143" s="334"/>
      <c r="E143" s="334"/>
      <c r="F143" s="331"/>
      <c r="G143" s="77"/>
      <c r="N143" s="144"/>
      <c r="U143" s="364">
        <f t="shared" si="29"/>
        <v>0</v>
      </c>
    </row>
    <row r="144" spans="1:292" ht="70" hidden="1" customHeight="1">
      <c r="A144" s="368" t="s">
        <v>427</v>
      </c>
      <c r="B144" s="334"/>
      <c r="C144" s="334"/>
      <c r="D144" s="334"/>
      <c r="E144" s="334"/>
      <c r="F144" s="331"/>
      <c r="G144" s="77"/>
      <c r="N144" s="144"/>
      <c r="U144" s="364">
        <f t="shared" si="29"/>
        <v>0</v>
      </c>
    </row>
    <row r="145" spans="1:23" ht="70" hidden="1" customHeight="1">
      <c r="A145" s="368" t="s">
        <v>428</v>
      </c>
      <c r="B145" s="334"/>
      <c r="C145" s="334"/>
      <c r="D145" s="334"/>
      <c r="E145" s="334"/>
      <c r="F145" s="331"/>
      <c r="G145" s="77"/>
      <c r="N145" s="144"/>
      <c r="U145" s="364">
        <f t="shared" si="29"/>
        <v>0</v>
      </c>
    </row>
    <row r="146" spans="1:23" ht="70" hidden="1" customHeight="1">
      <c r="A146" s="368" t="s">
        <v>429</v>
      </c>
      <c r="B146" s="334"/>
      <c r="C146" s="334"/>
      <c r="D146" s="334"/>
      <c r="E146" s="334"/>
      <c r="F146" s="331"/>
      <c r="G146" s="77"/>
      <c r="N146" s="144"/>
      <c r="U146" s="364">
        <f t="shared" si="29"/>
        <v>0</v>
      </c>
    </row>
    <row r="147" spans="1:23" ht="70" hidden="1" customHeight="1">
      <c r="A147" s="368" t="s">
        <v>430</v>
      </c>
      <c r="B147" s="334"/>
      <c r="C147" s="334"/>
      <c r="D147" s="334"/>
      <c r="E147" s="334"/>
      <c r="F147" s="331"/>
      <c r="G147" s="77"/>
      <c r="N147" s="144"/>
      <c r="U147" s="364">
        <f t="shared" si="29"/>
        <v>0</v>
      </c>
    </row>
    <row r="148" spans="1:23" ht="70" hidden="1" customHeight="1">
      <c r="A148" s="368" t="s">
        <v>431</v>
      </c>
      <c r="B148" s="334"/>
      <c r="C148" s="334"/>
      <c r="D148" s="334"/>
      <c r="E148" s="334"/>
      <c r="F148" s="331"/>
      <c r="G148" s="77"/>
      <c r="N148" s="144"/>
      <c r="U148" s="364">
        <f t="shared" si="29"/>
        <v>0</v>
      </c>
    </row>
    <row r="149" spans="1:23" ht="70" hidden="1" customHeight="1">
      <c r="A149" s="368" t="s">
        <v>229</v>
      </c>
      <c r="B149" s="334"/>
      <c r="C149" s="334"/>
      <c r="D149" s="334"/>
      <c r="E149" s="334"/>
      <c r="F149" s="331"/>
      <c r="G149" s="77"/>
      <c r="N149" s="144"/>
      <c r="U149" s="364">
        <f t="shared" si="29"/>
        <v>0</v>
      </c>
    </row>
    <row r="150" spans="1:23" ht="70" hidden="1" customHeight="1">
      <c r="A150" s="368" t="s">
        <v>231</v>
      </c>
      <c r="B150" s="334"/>
      <c r="C150" s="334"/>
      <c r="D150" s="334"/>
      <c r="E150" s="334"/>
      <c r="F150" s="331"/>
      <c r="G150" s="77"/>
      <c r="N150" s="144"/>
      <c r="U150" s="364">
        <f t="shared" si="29"/>
        <v>0</v>
      </c>
    </row>
    <row r="151" spans="1:23" ht="70" hidden="1" customHeight="1">
      <c r="A151" s="368" t="s">
        <v>432</v>
      </c>
      <c r="B151" s="334"/>
      <c r="C151" s="334"/>
      <c r="D151" s="334"/>
      <c r="E151" s="334"/>
      <c r="F151" s="331"/>
      <c r="G151" s="77"/>
      <c r="N151" s="144"/>
      <c r="U151" s="364">
        <f t="shared" si="29"/>
        <v>0</v>
      </c>
    </row>
    <row r="152" spans="1:23" ht="70" hidden="1" customHeight="1">
      <c r="A152" s="368" t="s">
        <v>433</v>
      </c>
      <c r="B152" s="334"/>
      <c r="C152" s="334"/>
      <c r="D152" s="334"/>
      <c r="E152" s="334"/>
      <c r="F152" s="331"/>
      <c r="G152" s="77"/>
      <c r="N152" s="144"/>
      <c r="U152" s="364">
        <f t="shared" si="29"/>
        <v>0</v>
      </c>
    </row>
    <row r="153" spans="1:23" ht="70" hidden="1" customHeight="1">
      <c r="A153" s="368" t="s">
        <v>434</v>
      </c>
      <c r="B153" s="334"/>
      <c r="C153" s="334"/>
      <c r="D153" s="334"/>
      <c r="E153" s="334"/>
      <c r="F153" s="331"/>
      <c r="G153" s="77"/>
      <c r="N153" s="144"/>
      <c r="U153" s="364">
        <f t="shared" si="29"/>
        <v>0</v>
      </c>
    </row>
    <row r="154" spans="1:23" ht="70" hidden="1" customHeight="1">
      <c r="A154" s="368" t="s">
        <v>435</v>
      </c>
      <c r="B154" s="334"/>
      <c r="C154" s="334"/>
      <c r="D154" s="334"/>
      <c r="E154" s="334"/>
      <c r="F154" s="331"/>
      <c r="G154" s="77"/>
      <c r="N154" s="144"/>
      <c r="U154" s="364">
        <f t="shared" si="29"/>
        <v>0</v>
      </c>
    </row>
    <row r="155" spans="1:23" ht="70" hidden="1" customHeight="1">
      <c r="A155" s="368" t="s">
        <v>436</v>
      </c>
      <c r="B155" s="334"/>
      <c r="C155" s="334"/>
      <c r="D155" s="334"/>
      <c r="E155" s="334"/>
      <c r="F155" s="331"/>
      <c r="G155" s="77"/>
      <c r="N155" s="144"/>
      <c r="U155" s="364">
        <f t="shared" ref="U155:U178" si="44">T155-O155</f>
        <v>0</v>
      </c>
    </row>
    <row r="156" spans="1:23" ht="70" hidden="1" customHeight="1">
      <c r="A156" s="368" t="s">
        <v>437</v>
      </c>
      <c r="B156" s="334"/>
      <c r="C156" s="334"/>
      <c r="D156" s="334"/>
      <c r="E156" s="334"/>
      <c r="F156" s="331"/>
      <c r="G156" s="77"/>
      <c r="N156" s="144"/>
      <c r="U156" s="364">
        <f t="shared" si="44"/>
        <v>0</v>
      </c>
    </row>
    <row r="157" spans="1:23" ht="70" hidden="1" customHeight="1">
      <c r="A157" s="369" t="s">
        <v>438</v>
      </c>
      <c r="B157" s="308"/>
      <c r="C157" s="308"/>
      <c r="D157" s="308"/>
      <c r="E157" s="308"/>
      <c r="F157" s="355"/>
      <c r="G157" s="370"/>
      <c r="N157" s="144"/>
      <c r="U157" s="364">
        <f t="shared" si="44"/>
        <v>0</v>
      </c>
    </row>
    <row r="158" spans="1:23" s="635" customFormat="1" ht="70" hidden="1" customHeight="1">
      <c r="A158" s="368" t="s">
        <v>439</v>
      </c>
      <c r="B158" s="106"/>
      <c r="C158" s="334" t="str">
        <f t="shared" ref="C158:C178" si="45">IF(D158&gt;0,"ISSUED","")</f>
        <v/>
      </c>
      <c r="D158" s="106"/>
      <c r="E158" s="106"/>
      <c r="F158" s="331" t="s">
        <v>369</v>
      </c>
      <c r="G158" s="78" t="s">
        <v>234</v>
      </c>
      <c r="H158" s="631"/>
      <c r="I158" s="631"/>
      <c r="J158" s="553"/>
      <c r="K158" s="248"/>
      <c r="L158" s="631"/>
      <c r="M158" s="631"/>
      <c r="N158" s="159"/>
      <c r="O158" s="631"/>
      <c r="P158" s="631"/>
      <c r="Q158" s="631"/>
      <c r="R158" s="631"/>
      <c r="S158" s="631"/>
      <c r="T158" s="631"/>
      <c r="U158" s="364">
        <f t="shared" si="44"/>
        <v>0</v>
      </c>
      <c r="W158" s="631"/>
    </row>
    <row r="159" spans="1:23" s="635" customFormat="1" ht="70" hidden="1" customHeight="1">
      <c r="A159" s="173" t="s">
        <v>411</v>
      </c>
      <c r="B159" s="106"/>
      <c r="C159" s="334" t="str">
        <f t="shared" si="45"/>
        <v/>
      </c>
      <c r="D159" s="106"/>
      <c r="E159" s="106"/>
      <c r="F159" s="331" t="s">
        <v>369</v>
      </c>
      <c r="G159" s="78" t="s">
        <v>234</v>
      </c>
      <c r="H159" s="631"/>
      <c r="I159" s="631"/>
      <c r="J159" s="553"/>
      <c r="K159" s="248"/>
      <c r="L159" s="631"/>
      <c r="M159" s="631"/>
      <c r="N159" s="159"/>
      <c r="O159" s="631"/>
      <c r="P159" s="631"/>
      <c r="Q159" s="631"/>
      <c r="R159" s="631"/>
      <c r="S159" s="631"/>
      <c r="T159" s="631"/>
      <c r="U159" s="364">
        <f t="shared" si="44"/>
        <v>0</v>
      </c>
      <c r="W159" s="631"/>
    </row>
    <row r="160" spans="1:23" s="635" customFormat="1" ht="70" hidden="1" customHeight="1">
      <c r="A160" s="173" t="s">
        <v>412</v>
      </c>
      <c r="B160" s="106"/>
      <c r="C160" s="334" t="str">
        <f t="shared" si="45"/>
        <v/>
      </c>
      <c r="D160" s="106"/>
      <c r="E160" s="106"/>
      <c r="F160" s="331" t="s">
        <v>369</v>
      </c>
      <c r="G160" s="78" t="s">
        <v>234</v>
      </c>
      <c r="H160" s="631"/>
      <c r="I160" s="631"/>
      <c r="J160" s="553"/>
      <c r="K160" s="248"/>
      <c r="L160" s="631"/>
      <c r="M160" s="631"/>
      <c r="N160" s="159"/>
      <c r="O160" s="631"/>
      <c r="P160" s="631"/>
      <c r="Q160" s="631"/>
      <c r="R160" s="631"/>
      <c r="S160" s="631"/>
      <c r="T160" s="631"/>
      <c r="U160" s="364">
        <f t="shared" si="44"/>
        <v>0</v>
      </c>
      <c r="W160" s="631"/>
    </row>
    <row r="161" spans="1:135" s="635" customFormat="1" ht="70" hidden="1" customHeight="1">
      <c r="A161" s="173" t="s">
        <v>413</v>
      </c>
      <c r="B161" s="106"/>
      <c r="C161" s="334" t="str">
        <f t="shared" si="45"/>
        <v/>
      </c>
      <c r="D161" s="106"/>
      <c r="E161" s="106"/>
      <c r="F161" s="331" t="s">
        <v>369</v>
      </c>
      <c r="G161" s="78" t="s">
        <v>234</v>
      </c>
      <c r="H161" s="631"/>
      <c r="I161" s="631"/>
      <c r="J161" s="553"/>
      <c r="K161" s="248"/>
      <c r="L161" s="631"/>
      <c r="M161" s="631"/>
      <c r="N161" s="159"/>
      <c r="O161" s="631"/>
      <c r="P161" s="631"/>
      <c r="Q161" s="631"/>
      <c r="R161" s="631"/>
      <c r="S161" s="631"/>
      <c r="T161" s="631"/>
      <c r="U161" s="364">
        <f t="shared" si="44"/>
        <v>0</v>
      </c>
      <c r="W161" s="631"/>
    </row>
    <row r="162" spans="1:135" s="635" customFormat="1" ht="70" hidden="1" customHeight="1">
      <c r="A162" s="173" t="s">
        <v>414</v>
      </c>
      <c r="B162" s="106"/>
      <c r="C162" s="334" t="str">
        <f t="shared" si="45"/>
        <v/>
      </c>
      <c r="D162" s="106"/>
      <c r="E162" s="106"/>
      <c r="F162" s="331" t="s">
        <v>369</v>
      </c>
      <c r="G162" s="78" t="s">
        <v>234</v>
      </c>
      <c r="H162" s="631"/>
      <c r="I162" s="631"/>
      <c r="J162" s="553"/>
      <c r="K162" s="248"/>
      <c r="L162" s="631"/>
      <c r="M162" s="631"/>
      <c r="N162" s="159"/>
      <c r="O162" s="631"/>
      <c r="P162" s="631"/>
      <c r="Q162" s="631"/>
      <c r="R162" s="631"/>
      <c r="S162" s="631"/>
      <c r="T162" s="631"/>
      <c r="U162" s="364">
        <f t="shared" si="44"/>
        <v>0</v>
      </c>
      <c r="W162" s="631"/>
    </row>
    <row r="163" spans="1:135" s="635" customFormat="1" ht="70" hidden="1" customHeight="1">
      <c r="A163" s="173" t="s">
        <v>416</v>
      </c>
      <c r="B163" s="106"/>
      <c r="C163" s="334" t="str">
        <f t="shared" si="45"/>
        <v/>
      </c>
      <c r="D163" s="106"/>
      <c r="E163" s="106"/>
      <c r="F163" s="331"/>
      <c r="G163" s="78" t="s">
        <v>234</v>
      </c>
      <c r="H163" s="631"/>
      <c r="I163" s="631"/>
      <c r="J163" s="553"/>
      <c r="K163" s="248"/>
      <c r="L163" s="631"/>
      <c r="M163" s="631"/>
      <c r="N163" s="159"/>
      <c r="O163" s="631"/>
      <c r="P163" s="631"/>
      <c r="Q163" s="631"/>
      <c r="R163" s="631"/>
      <c r="S163" s="631"/>
      <c r="T163" s="631"/>
      <c r="U163" s="364">
        <f t="shared" si="44"/>
        <v>0</v>
      </c>
      <c r="W163" s="631"/>
    </row>
    <row r="164" spans="1:135" s="635" customFormat="1" ht="70" hidden="1" customHeight="1">
      <c r="A164" s="173" t="s">
        <v>417</v>
      </c>
      <c r="B164" s="106"/>
      <c r="C164" s="334" t="str">
        <f t="shared" si="45"/>
        <v/>
      </c>
      <c r="D164" s="106"/>
      <c r="E164" s="106"/>
      <c r="F164" s="331"/>
      <c r="G164" s="78" t="s">
        <v>234</v>
      </c>
      <c r="H164" s="631"/>
      <c r="I164" s="631"/>
      <c r="J164" s="553"/>
      <c r="K164" s="248"/>
      <c r="L164" s="631"/>
      <c r="M164" s="631"/>
      <c r="N164" s="159"/>
      <c r="O164" s="631"/>
      <c r="P164" s="631"/>
      <c r="Q164" s="631"/>
      <c r="R164" s="631"/>
      <c r="S164" s="631"/>
      <c r="T164" s="631"/>
      <c r="U164" s="364">
        <f t="shared" si="44"/>
        <v>0</v>
      </c>
      <c r="W164" s="631"/>
    </row>
    <row r="165" spans="1:135" s="635" customFormat="1" ht="70" hidden="1" customHeight="1">
      <c r="A165" s="173" t="s">
        <v>418</v>
      </c>
      <c r="B165" s="106"/>
      <c r="C165" s="334" t="str">
        <f t="shared" si="45"/>
        <v/>
      </c>
      <c r="D165" s="106"/>
      <c r="E165" s="106"/>
      <c r="F165" s="331"/>
      <c r="G165" s="78" t="s">
        <v>234</v>
      </c>
      <c r="H165" s="631"/>
      <c r="I165" s="631"/>
      <c r="J165" s="553"/>
      <c r="K165" s="248"/>
      <c r="L165" s="631"/>
      <c r="M165" s="631"/>
      <c r="N165" s="159"/>
      <c r="O165" s="631"/>
      <c r="P165" s="631"/>
      <c r="Q165" s="631"/>
      <c r="R165" s="631"/>
      <c r="S165" s="631"/>
      <c r="T165" s="631"/>
      <c r="U165" s="364">
        <f t="shared" si="44"/>
        <v>0</v>
      </c>
      <c r="W165" s="631"/>
    </row>
    <row r="166" spans="1:135" s="635" customFormat="1" ht="70" hidden="1" customHeight="1">
      <c r="A166" s="173" t="s">
        <v>419</v>
      </c>
      <c r="B166" s="106"/>
      <c r="C166" s="334" t="str">
        <f t="shared" si="45"/>
        <v/>
      </c>
      <c r="D166" s="106"/>
      <c r="E166" s="106"/>
      <c r="F166" s="331"/>
      <c r="G166" s="78" t="s">
        <v>234</v>
      </c>
      <c r="H166" s="631"/>
      <c r="I166" s="631"/>
      <c r="J166" s="553"/>
      <c r="K166" s="248"/>
      <c r="L166" s="631"/>
      <c r="M166" s="631"/>
      <c r="N166" s="159"/>
      <c r="O166" s="631"/>
      <c r="P166" s="631"/>
      <c r="Q166" s="631"/>
      <c r="R166" s="631"/>
      <c r="S166" s="631"/>
      <c r="T166" s="631"/>
      <c r="U166" s="364">
        <f t="shared" si="44"/>
        <v>0</v>
      </c>
      <c r="W166" s="631"/>
    </row>
    <row r="167" spans="1:135" s="635" customFormat="1" ht="70" hidden="1" customHeight="1">
      <c r="A167" s="173" t="s">
        <v>420</v>
      </c>
      <c r="B167" s="106"/>
      <c r="C167" s="334" t="str">
        <f t="shared" si="45"/>
        <v/>
      </c>
      <c r="D167" s="106"/>
      <c r="E167" s="106"/>
      <c r="F167" s="331"/>
      <c r="G167" s="78" t="s">
        <v>234</v>
      </c>
      <c r="H167" s="631"/>
      <c r="I167" s="631"/>
      <c r="J167" s="553"/>
      <c r="K167" s="248"/>
      <c r="L167" s="631"/>
      <c r="M167" s="631"/>
      <c r="N167" s="159"/>
      <c r="O167" s="631"/>
      <c r="P167" s="631"/>
      <c r="Q167" s="631"/>
      <c r="R167" s="631"/>
      <c r="S167" s="631"/>
      <c r="T167" s="631"/>
      <c r="U167" s="364">
        <f t="shared" si="44"/>
        <v>0</v>
      </c>
      <c r="W167" s="631"/>
    </row>
    <row r="168" spans="1:135" s="635" customFormat="1" ht="70" hidden="1" customHeight="1">
      <c r="A168" s="173" t="s">
        <v>421</v>
      </c>
      <c r="B168" s="106"/>
      <c r="C168" s="334" t="str">
        <f t="shared" si="45"/>
        <v/>
      </c>
      <c r="D168" s="106"/>
      <c r="E168" s="106"/>
      <c r="F168" s="331"/>
      <c r="G168" s="78" t="s">
        <v>234</v>
      </c>
      <c r="H168" s="631"/>
      <c r="I168" s="631"/>
      <c r="J168" s="553"/>
      <c r="K168" s="248"/>
      <c r="L168" s="631"/>
      <c r="M168" s="631"/>
      <c r="N168" s="159"/>
      <c r="O168" s="631"/>
      <c r="P168" s="631"/>
      <c r="Q168" s="631"/>
      <c r="R168" s="631"/>
      <c r="S168" s="631"/>
      <c r="T168" s="631"/>
      <c r="U168" s="364">
        <f t="shared" si="44"/>
        <v>0</v>
      </c>
      <c r="W168" s="631"/>
    </row>
    <row r="169" spans="1:135" s="635" customFormat="1" ht="70" hidden="1" customHeight="1">
      <c r="A169" s="173" t="s">
        <v>422</v>
      </c>
      <c r="B169" s="106"/>
      <c r="C169" s="334" t="str">
        <f t="shared" si="45"/>
        <v/>
      </c>
      <c r="D169" s="106"/>
      <c r="E169" s="106"/>
      <c r="F169" s="331"/>
      <c r="G169" s="78" t="s">
        <v>234</v>
      </c>
      <c r="H169" s="631"/>
      <c r="I169" s="631"/>
      <c r="J169" s="553"/>
      <c r="K169" s="248"/>
      <c r="L169" s="631"/>
      <c r="M169" s="631"/>
      <c r="N169" s="159"/>
      <c r="O169" s="631"/>
      <c r="P169" s="631"/>
      <c r="Q169" s="631"/>
      <c r="R169" s="631"/>
      <c r="S169" s="631"/>
      <c r="T169" s="631"/>
      <c r="U169" s="364">
        <f t="shared" si="44"/>
        <v>0</v>
      </c>
      <c r="W169" s="631"/>
    </row>
    <row r="170" spans="1:135" s="635" customFormat="1" ht="70" hidden="1" customHeight="1">
      <c r="A170" s="173" t="s">
        <v>423</v>
      </c>
      <c r="B170" s="106"/>
      <c r="C170" s="334" t="str">
        <f t="shared" si="45"/>
        <v/>
      </c>
      <c r="D170" s="106"/>
      <c r="E170" s="106"/>
      <c r="F170" s="331"/>
      <c r="G170" s="78" t="s">
        <v>234</v>
      </c>
      <c r="H170" s="631"/>
      <c r="I170" s="631"/>
      <c r="J170" s="553"/>
      <c r="K170" s="248"/>
      <c r="L170" s="631"/>
      <c r="M170" s="631"/>
      <c r="N170" s="159"/>
      <c r="O170" s="631"/>
      <c r="P170" s="631"/>
      <c r="Q170" s="631"/>
      <c r="R170" s="631"/>
      <c r="S170" s="631"/>
      <c r="T170" s="631"/>
      <c r="U170" s="364">
        <f t="shared" si="44"/>
        <v>0</v>
      </c>
      <c r="W170" s="631"/>
    </row>
    <row r="171" spans="1:135" s="635" customFormat="1" ht="70" hidden="1" customHeight="1">
      <c r="A171" s="173" t="s">
        <v>424</v>
      </c>
      <c r="B171" s="106"/>
      <c r="C171" s="334" t="str">
        <f t="shared" si="45"/>
        <v/>
      </c>
      <c r="D171" s="106"/>
      <c r="E171" s="106"/>
      <c r="F171" s="331"/>
      <c r="G171" s="78" t="s">
        <v>234</v>
      </c>
      <c r="H171" s="78"/>
      <c r="I171" s="82"/>
      <c r="J171" s="151"/>
      <c r="K171" s="244"/>
      <c r="L171" s="78"/>
      <c r="M171" s="78"/>
      <c r="N171" s="145"/>
      <c r="O171" s="83"/>
      <c r="P171" s="526"/>
      <c r="Q171" s="452"/>
      <c r="R171" s="452"/>
      <c r="S171" s="58"/>
      <c r="T171" s="585"/>
      <c r="U171" s="364">
        <f t="shared" si="44"/>
        <v>0</v>
      </c>
      <c r="V171" s="465"/>
      <c r="W171" s="219"/>
      <c r="X171" s="465"/>
      <c r="Y171" s="465"/>
      <c r="Z171" s="465"/>
      <c r="AA171" s="465"/>
      <c r="AB171" s="465"/>
      <c r="AC171" s="465"/>
      <c r="AD171" s="465"/>
      <c r="AE171" s="465"/>
      <c r="AF171" s="465"/>
      <c r="AG171" s="465"/>
      <c r="AH171" s="340"/>
      <c r="AI171" s="465"/>
      <c r="AJ171" s="457"/>
      <c r="AK171" s="457"/>
      <c r="AL171" s="465"/>
      <c r="AM171" s="465"/>
      <c r="AN171" s="610"/>
      <c r="AO171" s="595"/>
      <c r="AP171" s="340"/>
      <c r="AQ171" s="465"/>
      <c r="AR171" s="465"/>
      <c r="AS171" s="465"/>
      <c r="AT171" s="465"/>
      <c r="AU171" s="465"/>
      <c r="AV171" s="465"/>
      <c r="AW171" s="465"/>
      <c r="AX171" s="465"/>
      <c r="AY171" s="465"/>
      <c r="AZ171" s="465"/>
      <c r="BA171" s="590"/>
      <c r="BB171" s="465"/>
      <c r="BC171" s="465"/>
      <c r="BD171" s="465"/>
      <c r="BE171" s="465"/>
      <c r="BF171" s="465"/>
      <c r="BG171" s="465"/>
      <c r="BH171" s="465"/>
      <c r="BI171" s="465"/>
      <c r="BJ171" s="465"/>
      <c r="BK171" s="465"/>
      <c r="BL171" s="465"/>
      <c r="BM171" s="465"/>
      <c r="BN171" s="7"/>
      <c r="BO171" s="7"/>
      <c r="BP171" s="465"/>
      <c r="BQ171" s="465"/>
      <c r="BR171" s="465"/>
      <c r="BS171" s="465"/>
      <c r="BT171" s="465"/>
      <c r="BU171" s="465"/>
      <c r="BV171" s="465"/>
      <c r="BW171" s="465"/>
      <c r="BX171" s="465"/>
      <c r="BY171" s="465"/>
      <c r="BZ171" s="465"/>
      <c r="CA171" s="465"/>
      <c r="CB171" s="465"/>
      <c r="CC171" s="465"/>
      <c r="CD171" s="465"/>
      <c r="CE171" s="465"/>
      <c r="CF171" s="465"/>
      <c r="CG171" s="465"/>
      <c r="CH171" s="465"/>
      <c r="CI171" s="465"/>
      <c r="CJ171" s="465"/>
      <c r="CK171" s="465"/>
      <c r="CL171" s="465"/>
      <c r="CM171" s="457"/>
      <c r="CN171" s="457"/>
      <c r="CO171" s="465"/>
      <c r="CP171" s="465"/>
      <c r="CQ171" s="7"/>
      <c r="CR171" s="7"/>
      <c r="CS171" s="465"/>
      <c r="CT171" s="465"/>
      <c r="CU171" s="465"/>
      <c r="CV171" s="465"/>
      <c r="CW171" s="465"/>
      <c r="CX171" s="465"/>
      <c r="CY171" s="465"/>
      <c r="CZ171" s="590"/>
      <c r="DA171" s="465"/>
      <c r="DB171" s="465"/>
      <c r="DC171" s="465"/>
      <c r="DD171" s="465"/>
      <c r="DE171" s="465"/>
      <c r="DF171" s="465"/>
      <c r="DG171" s="465"/>
      <c r="DH171" s="465"/>
      <c r="DI171" s="465"/>
      <c r="DJ171" s="465"/>
      <c r="DK171" s="465"/>
      <c r="DL171" s="465"/>
      <c r="DM171" s="465"/>
      <c r="DN171" s="465"/>
      <c r="DO171" s="465"/>
      <c r="DP171" s="465"/>
      <c r="DQ171" s="465"/>
      <c r="DR171" s="7"/>
      <c r="DS171" s="7"/>
      <c r="DT171" s="465"/>
      <c r="DU171" s="465"/>
      <c r="DV171" s="465"/>
      <c r="DW171" s="465"/>
      <c r="DX171" s="465"/>
      <c r="DY171" s="465"/>
      <c r="DZ171" s="465"/>
      <c r="EA171" s="465"/>
      <c r="EB171" s="465"/>
      <c r="EC171" s="465"/>
      <c r="ED171" s="465"/>
      <c r="EE171" s="465"/>
    </row>
    <row r="172" spans="1:135" s="635" customFormat="1" ht="70" hidden="1" customHeight="1">
      <c r="A172" s="173" t="s">
        <v>425</v>
      </c>
      <c r="B172" s="106"/>
      <c r="C172" s="334" t="str">
        <f t="shared" si="45"/>
        <v/>
      </c>
      <c r="D172" s="106"/>
      <c r="E172" s="106"/>
      <c r="F172" s="331"/>
      <c r="G172" s="78" t="s">
        <v>234</v>
      </c>
      <c r="H172" s="78"/>
      <c r="I172" s="82"/>
      <c r="J172" s="151"/>
      <c r="K172" s="244"/>
      <c r="L172" s="78"/>
      <c r="M172" s="78"/>
      <c r="N172" s="145"/>
      <c r="O172" s="83"/>
      <c r="P172" s="526"/>
      <c r="Q172" s="452"/>
      <c r="R172" s="452"/>
      <c r="S172" s="58"/>
      <c r="T172" s="585"/>
      <c r="U172" s="364">
        <f t="shared" si="44"/>
        <v>0</v>
      </c>
      <c r="V172" s="465"/>
      <c r="W172" s="219"/>
      <c r="X172" s="465"/>
      <c r="Y172" s="465"/>
      <c r="Z172" s="465"/>
      <c r="AA172" s="465"/>
      <c r="AB172" s="465"/>
      <c r="AC172" s="465"/>
      <c r="AD172" s="465"/>
      <c r="AE172" s="465"/>
      <c r="AF172" s="465"/>
      <c r="AG172" s="465"/>
      <c r="AH172" s="340"/>
      <c r="AI172" s="465"/>
      <c r="AJ172" s="457"/>
      <c r="AK172" s="457"/>
      <c r="AL172" s="465"/>
      <c r="AM172" s="465"/>
      <c r="AN172" s="610"/>
      <c r="AO172" s="595"/>
      <c r="AP172" s="340"/>
      <c r="AQ172" s="465"/>
      <c r="AR172" s="465"/>
      <c r="AS172" s="465"/>
      <c r="AT172" s="465"/>
      <c r="AU172" s="465"/>
      <c r="AV172" s="465"/>
      <c r="AW172" s="465"/>
      <c r="AX172" s="465"/>
      <c r="AY172" s="465"/>
      <c r="AZ172" s="465"/>
      <c r="BA172" s="590"/>
      <c r="BB172" s="465"/>
      <c r="BC172" s="465"/>
      <c r="BD172" s="465"/>
      <c r="BE172" s="465"/>
      <c r="BF172" s="465"/>
      <c r="BG172" s="465"/>
      <c r="BH172" s="465"/>
      <c r="BI172" s="465"/>
      <c r="BJ172" s="465"/>
      <c r="BK172" s="465"/>
      <c r="BL172" s="465"/>
      <c r="BM172" s="465"/>
      <c r="BN172" s="7"/>
      <c r="BO172" s="7"/>
      <c r="BP172" s="465"/>
      <c r="BQ172" s="465"/>
      <c r="BR172" s="465"/>
      <c r="BS172" s="465"/>
      <c r="BT172" s="465"/>
      <c r="BU172" s="465"/>
      <c r="BV172" s="465"/>
      <c r="BW172" s="465"/>
      <c r="BX172" s="465"/>
      <c r="BY172" s="465"/>
      <c r="BZ172" s="465"/>
      <c r="CA172" s="465"/>
      <c r="CB172" s="465"/>
      <c r="CC172" s="465"/>
      <c r="CD172" s="465"/>
      <c r="CE172" s="465"/>
      <c r="CF172" s="465"/>
      <c r="CG172" s="465"/>
      <c r="CH172" s="465"/>
      <c r="CI172" s="465"/>
      <c r="CJ172" s="465"/>
      <c r="CK172" s="465"/>
      <c r="CL172" s="465"/>
      <c r="CM172" s="457"/>
      <c r="CN172" s="457"/>
      <c r="CO172" s="465"/>
      <c r="CP172" s="465"/>
      <c r="CQ172" s="7"/>
      <c r="CR172" s="7"/>
      <c r="CS172" s="465"/>
      <c r="CT172" s="465"/>
      <c r="CU172" s="465"/>
      <c r="CV172" s="465"/>
      <c r="CW172" s="465"/>
      <c r="CX172" s="465"/>
      <c r="CY172" s="465"/>
      <c r="CZ172" s="590"/>
      <c r="DA172" s="465"/>
      <c r="DB172" s="465"/>
      <c r="DC172" s="465"/>
      <c r="DD172" s="465"/>
      <c r="DE172" s="465"/>
      <c r="DF172" s="465"/>
      <c r="DG172" s="465"/>
      <c r="DH172" s="465"/>
      <c r="DI172" s="465"/>
      <c r="DJ172" s="465"/>
      <c r="DK172" s="465"/>
      <c r="DL172" s="465"/>
      <c r="DM172" s="465"/>
      <c r="DN172" s="465"/>
      <c r="DO172" s="465"/>
      <c r="DP172" s="465"/>
      <c r="DQ172" s="465"/>
      <c r="DR172" s="7"/>
      <c r="DS172" s="7"/>
      <c r="DT172" s="465"/>
      <c r="DU172" s="465"/>
      <c r="DV172" s="465"/>
      <c r="DW172" s="465"/>
      <c r="DX172" s="465"/>
      <c r="DY172" s="465"/>
      <c r="DZ172" s="465"/>
      <c r="EA172" s="465"/>
      <c r="EB172" s="465"/>
      <c r="EC172" s="465"/>
      <c r="ED172" s="465"/>
      <c r="EE172" s="465"/>
    </row>
    <row r="173" spans="1:135" s="635" customFormat="1" ht="70" hidden="1" customHeight="1">
      <c r="A173" s="173" t="s">
        <v>426</v>
      </c>
      <c r="B173" s="106"/>
      <c r="C173" s="334" t="str">
        <f t="shared" si="45"/>
        <v/>
      </c>
      <c r="D173" s="106"/>
      <c r="E173" s="106"/>
      <c r="F173" s="331"/>
      <c r="G173" s="78" t="s">
        <v>234</v>
      </c>
      <c r="H173" s="78"/>
      <c r="I173" s="82"/>
      <c r="J173" s="151"/>
      <c r="K173" s="244"/>
      <c r="L173" s="78"/>
      <c r="M173" s="78"/>
      <c r="N173" s="145"/>
      <c r="O173" s="83"/>
      <c r="P173" s="526"/>
      <c r="Q173" s="452"/>
      <c r="R173" s="452"/>
      <c r="S173" s="58"/>
      <c r="T173" s="585"/>
      <c r="U173" s="364">
        <f t="shared" si="44"/>
        <v>0</v>
      </c>
      <c r="V173" s="465"/>
      <c r="W173" s="219"/>
      <c r="X173" s="465"/>
      <c r="Y173" s="465"/>
      <c r="Z173" s="465"/>
      <c r="AA173" s="465"/>
      <c r="AB173" s="465"/>
      <c r="AC173" s="465"/>
      <c r="AD173" s="465"/>
      <c r="AE173" s="465"/>
      <c r="AF173" s="465"/>
      <c r="AG173" s="465"/>
      <c r="AH173" s="340"/>
      <c r="AI173" s="465"/>
      <c r="AJ173" s="457"/>
      <c r="AK173" s="457"/>
      <c r="AL173" s="465"/>
      <c r="AM173" s="465"/>
      <c r="AN173" s="610"/>
      <c r="AO173" s="595"/>
      <c r="AP173" s="340"/>
      <c r="AQ173" s="465"/>
      <c r="AR173" s="465"/>
      <c r="AS173" s="465"/>
      <c r="AT173" s="465"/>
      <c r="AU173" s="465"/>
      <c r="AV173" s="465"/>
      <c r="AW173" s="465"/>
      <c r="AX173" s="465"/>
      <c r="AY173" s="465"/>
      <c r="AZ173" s="465"/>
      <c r="BA173" s="590"/>
      <c r="BB173" s="465"/>
      <c r="BC173" s="465"/>
      <c r="BD173" s="465"/>
      <c r="BE173" s="465"/>
      <c r="BF173" s="465"/>
      <c r="BG173" s="465"/>
      <c r="BH173" s="465"/>
      <c r="BI173" s="465"/>
      <c r="BJ173" s="465"/>
      <c r="BK173" s="465"/>
      <c r="BL173" s="465"/>
      <c r="BM173" s="465"/>
      <c r="BN173" s="7"/>
      <c r="BO173" s="7"/>
      <c r="BP173" s="465"/>
      <c r="BQ173" s="465"/>
      <c r="BR173" s="465"/>
      <c r="BS173" s="465"/>
      <c r="BT173" s="465"/>
      <c r="BU173" s="465"/>
      <c r="BV173" s="465"/>
      <c r="BW173" s="465"/>
      <c r="BX173" s="465"/>
      <c r="BY173" s="465"/>
      <c r="BZ173" s="465"/>
      <c r="CA173" s="465"/>
      <c r="CB173" s="465"/>
      <c r="CC173" s="465"/>
      <c r="CD173" s="465"/>
      <c r="CE173" s="465"/>
      <c r="CF173" s="465"/>
      <c r="CG173" s="465"/>
      <c r="CH173" s="465"/>
      <c r="CI173" s="465"/>
      <c r="CJ173" s="465"/>
      <c r="CK173" s="465"/>
      <c r="CL173" s="465"/>
      <c r="CM173" s="457"/>
      <c r="CN173" s="457"/>
      <c r="CO173" s="465"/>
      <c r="CP173" s="465"/>
      <c r="CQ173" s="7"/>
      <c r="CR173" s="7"/>
      <c r="CS173" s="465"/>
      <c r="CT173" s="465"/>
      <c r="CU173" s="465"/>
      <c r="CV173" s="465"/>
      <c r="CW173" s="465"/>
      <c r="CX173" s="465"/>
      <c r="CY173" s="465"/>
      <c r="CZ173" s="590"/>
      <c r="DA173" s="465"/>
      <c r="DB173" s="465"/>
      <c r="DC173" s="465"/>
      <c r="DD173" s="465"/>
      <c r="DE173" s="465"/>
      <c r="DF173" s="465"/>
      <c r="DG173" s="465"/>
      <c r="DH173" s="465"/>
      <c r="DI173" s="465"/>
      <c r="DJ173" s="465"/>
      <c r="DK173" s="465"/>
      <c r="DL173" s="465"/>
      <c r="DM173" s="465"/>
      <c r="DN173" s="465"/>
      <c r="DO173" s="465"/>
      <c r="DP173" s="465"/>
      <c r="DQ173" s="465"/>
      <c r="DR173" s="7"/>
      <c r="DS173" s="7"/>
      <c r="DT173" s="465"/>
      <c r="DU173" s="465"/>
      <c r="DV173" s="465"/>
      <c r="DW173" s="465"/>
      <c r="DX173" s="465"/>
      <c r="DY173" s="465"/>
      <c r="DZ173" s="465"/>
      <c r="EA173" s="465"/>
      <c r="EB173" s="465"/>
      <c r="EC173" s="465"/>
      <c r="ED173" s="465"/>
      <c r="EE173" s="465"/>
    </row>
    <row r="174" spans="1:135" s="635" customFormat="1" ht="70" hidden="1" customHeight="1">
      <c r="A174" s="173" t="s">
        <v>427</v>
      </c>
      <c r="B174" s="106"/>
      <c r="C174" s="334" t="str">
        <f t="shared" si="45"/>
        <v/>
      </c>
      <c r="D174" s="106"/>
      <c r="E174" s="106"/>
      <c r="F174" s="331"/>
      <c r="G174" s="78" t="s">
        <v>234</v>
      </c>
      <c r="H174" s="78"/>
      <c r="I174" s="82"/>
      <c r="J174" s="151"/>
      <c r="K174" s="244"/>
      <c r="L174" s="78"/>
      <c r="M174" s="78"/>
      <c r="N174" s="145"/>
      <c r="O174" s="83"/>
      <c r="P174" s="526"/>
      <c r="Q174" s="452"/>
      <c r="R174" s="452"/>
      <c r="S174" s="58"/>
      <c r="T174" s="585"/>
      <c r="U174" s="364">
        <f t="shared" si="44"/>
        <v>0</v>
      </c>
      <c r="V174" s="465"/>
      <c r="W174" s="219"/>
      <c r="X174" s="465"/>
      <c r="Y174" s="465"/>
      <c r="Z174" s="465"/>
      <c r="AA174" s="465"/>
      <c r="AB174" s="465"/>
      <c r="AC174" s="465"/>
      <c r="AD174" s="465"/>
      <c r="AE174" s="465"/>
      <c r="AF174" s="465"/>
      <c r="AG174" s="465"/>
      <c r="AH174" s="340"/>
      <c r="AI174" s="465"/>
      <c r="AJ174" s="457"/>
      <c r="AK174" s="457"/>
      <c r="AL174" s="465"/>
      <c r="AM174" s="465"/>
      <c r="AN174" s="610"/>
      <c r="AO174" s="595"/>
      <c r="AP174" s="340"/>
      <c r="AQ174" s="465"/>
      <c r="AR174" s="465"/>
      <c r="AS174" s="465"/>
      <c r="AT174" s="465"/>
      <c r="AU174" s="465"/>
      <c r="AV174" s="465"/>
      <c r="AW174" s="465"/>
      <c r="AX174" s="465"/>
      <c r="AY174" s="465"/>
      <c r="AZ174" s="465"/>
      <c r="BA174" s="590"/>
      <c r="BB174" s="465"/>
      <c r="BC174" s="465"/>
      <c r="BD174" s="465"/>
      <c r="BE174" s="465"/>
      <c r="BF174" s="465"/>
      <c r="BG174" s="465"/>
      <c r="BH174" s="465"/>
      <c r="BI174" s="465"/>
      <c r="BJ174" s="465"/>
      <c r="BK174" s="465"/>
      <c r="BL174" s="465"/>
      <c r="BM174" s="465"/>
      <c r="BN174" s="7"/>
      <c r="BO174" s="7"/>
      <c r="BP174" s="465"/>
      <c r="BQ174" s="465"/>
      <c r="BR174" s="465"/>
      <c r="BS174" s="465"/>
      <c r="BT174" s="465"/>
      <c r="BU174" s="465"/>
      <c r="BV174" s="465"/>
      <c r="BW174" s="465"/>
      <c r="BX174" s="465"/>
      <c r="BY174" s="465"/>
      <c r="BZ174" s="465"/>
      <c r="CA174" s="465"/>
      <c r="CB174" s="465"/>
      <c r="CC174" s="465"/>
      <c r="CD174" s="465"/>
      <c r="CE174" s="465"/>
      <c r="CF174" s="465"/>
      <c r="CG174" s="465"/>
      <c r="CH174" s="465"/>
      <c r="CI174" s="465"/>
      <c r="CJ174" s="465"/>
      <c r="CK174" s="465"/>
      <c r="CL174" s="465"/>
      <c r="CM174" s="457"/>
      <c r="CN174" s="457"/>
      <c r="CO174" s="465"/>
      <c r="CP174" s="465"/>
      <c r="CQ174" s="7"/>
      <c r="CR174" s="7"/>
      <c r="CS174" s="465"/>
      <c r="CT174" s="465"/>
      <c r="CU174" s="465"/>
      <c r="CV174" s="465"/>
      <c r="CW174" s="465"/>
      <c r="CX174" s="465"/>
      <c r="CY174" s="465"/>
      <c r="CZ174" s="590"/>
      <c r="DA174" s="465"/>
      <c r="DB174" s="465"/>
      <c r="DC174" s="465"/>
      <c r="DD174" s="465"/>
      <c r="DE174" s="465"/>
      <c r="DF174" s="465"/>
      <c r="DG174" s="465"/>
      <c r="DH174" s="465"/>
      <c r="DI174" s="465"/>
      <c r="DJ174" s="465"/>
      <c r="DK174" s="465"/>
      <c r="DL174" s="465"/>
      <c r="DM174" s="465"/>
      <c r="DN174" s="465"/>
      <c r="DO174" s="465"/>
      <c r="DP174" s="465"/>
      <c r="DQ174" s="465"/>
      <c r="DR174" s="7"/>
      <c r="DS174" s="7"/>
      <c r="DT174" s="465"/>
      <c r="DU174" s="465"/>
      <c r="DV174" s="465"/>
      <c r="DW174" s="465"/>
      <c r="DX174" s="465"/>
      <c r="DY174" s="465"/>
      <c r="DZ174" s="465"/>
      <c r="EA174" s="465"/>
      <c r="EB174" s="465"/>
      <c r="EC174" s="465"/>
      <c r="ED174" s="465"/>
      <c r="EE174" s="465"/>
    </row>
    <row r="175" spans="1:135" s="635" customFormat="1" ht="70" hidden="1" customHeight="1">
      <c r="A175" s="173" t="s">
        <v>428</v>
      </c>
      <c r="B175" s="106"/>
      <c r="C175" s="334" t="str">
        <f t="shared" si="45"/>
        <v/>
      </c>
      <c r="D175" s="106"/>
      <c r="E175" s="106"/>
      <c r="F175" s="331"/>
      <c r="G175" s="78" t="s">
        <v>234</v>
      </c>
      <c r="H175" s="78"/>
      <c r="I175" s="82"/>
      <c r="J175" s="151"/>
      <c r="K175" s="244"/>
      <c r="L175" s="78"/>
      <c r="M175" s="78"/>
      <c r="N175" s="145"/>
      <c r="O175" s="83"/>
      <c r="P175" s="526"/>
      <c r="Q175" s="452"/>
      <c r="R175" s="452"/>
      <c r="S175" s="58"/>
      <c r="T175" s="585"/>
      <c r="U175" s="364">
        <f t="shared" si="44"/>
        <v>0</v>
      </c>
      <c r="V175" s="465"/>
      <c r="W175" s="219"/>
      <c r="X175" s="465"/>
      <c r="Y175" s="465"/>
      <c r="Z175" s="465"/>
      <c r="AA175" s="465"/>
      <c r="AB175" s="465"/>
      <c r="AC175" s="465"/>
      <c r="AD175" s="465"/>
      <c r="AE175" s="465"/>
      <c r="AF175" s="465"/>
      <c r="AG175" s="465"/>
      <c r="AH175" s="340"/>
      <c r="AI175" s="465"/>
      <c r="AJ175" s="457"/>
      <c r="AK175" s="457"/>
      <c r="AL175" s="465"/>
      <c r="AM175" s="465"/>
      <c r="AN175" s="610"/>
      <c r="AO175" s="595"/>
      <c r="AP175" s="340"/>
      <c r="AQ175" s="465"/>
      <c r="AR175" s="465"/>
      <c r="AS175" s="465"/>
      <c r="AT175" s="465"/>
      <c r="AU175" s="465"/>
      <c r="AV175" s="465"/>
      <c r="AW175" s="465"/>
      <c r="AX175" s="465"/>
      <c r="AY175" s="465"/>
      <c r="AZ175" s="465"/>
      <c r="BA175" s="590"/>
      <c r="BB175" s="465"/>
      <c r="BC175" s="465"/>
      <c r="BD175" s="465"/>
      <c r="BE175" s="465"/>
      <c r="BF175" s="465"/>
      <c r="BG175" s="465"/>
      <c r="BH175" s="465"/>
      <c r="BI175" s="465"/>
      <c r="BJ175" s="465"/>
      <c r="BK175" s="465"/>
      <c r="BL175" s="465"/>
      <c r="BM175" s="465"/>
      <c r="BN175" s="7"/>
      <c r="BO175" s="7"/>
      <c r="BP175" s="465"/>
      <c r="BQ175" s="465"/>
      <c r="BR175" s="465"/>
      <c r="BS175" s="465"/>
      <c r="BT175" s="465"/>
      <c r="BU175" s="465"/>
      <c r="BV175" s="465"/>
      <c r="BW175" s="465"/>
      <c r="BX175" s="465"/>
      <c r="BY175" s="465"/>
      <c r="BZ175" s="465"/>
      <c r="CA175" s="465"/>
      <c r="CB175" s="465"/>
      <c r="CC175" s="465"/>
      <c r="CD175" s="465"/>
      <c r="CE175" s="465"/>
      <c r="CF175" s="465"/>
      <c r="CG175" s="465"/>
      <c r="CH175" s="465"/>
      <c r="CI175" s="465"/>
      <c r="CJ175" s="465"/>
      <c r="CK175" s="465"/>
      <c r="CL175" s="465"/>
      <c r="CM175" s="457"/>
      <c r="CN175" s="457"/>
      <c r="CO175" s="465"/>
      <c r="CP175" s="465"/>
      <c r="CQ175" s="7"/>
      <c r="CR175" s="7"/>
      <c r="CS175" s="465"/>
      <c r="CT175" s="465"/>
      <c r="CU175" s="465"/>
      <c r="CV175" s="465"/>
      <c r="CW175" s="465"/>
      <c r="CX175" s="465"/>
      <c r="CY175" s="465"/>
      <c r="CZ175" s="590"/>
      <c r="DA175" s="465"/>
      <c r="DB175" s="465"/>
      <c r="DC175" s="465"/>
      <c r="DD175" s="465"/>
      <c r="DE175" s="465"/>
      <c r="DF175" s="465"/>
      <c r="DG175" s="465"/>
      <c r="DH175" s="465"/>
      <c r="DI175" s="465"/>
      <c r="DJ175" s="465"/>
      <c r="DK175" s="465"/>
      <c r="DL175" s="465"/>
      <c r="DM175" s="465"/>
      <c r="DN175" s="465"/>
      <c r="DO175" s="465"/>
      <c r="DP175" s="465"/>
      <c r="DQ175" s="465"/>
      <c r="DR175" s="7"/>
      <c r="DS175" s="7"/>
      <c r="DT175" s="465"/>
      <c r="DU175" s="465"/>
      <c r="DV175" s="465"/>
      <c r="DW175" s="465"/>
      <c r="DX175" s="465"/>
      <c r="DY175" s="465"/>
      <c r="DZ175" s="465"/>
      <c r="EA175" s="465"/>
      <c r="EB175" s="465"/>
      <c r="EC175" s="465"/>
      <c r="ED175" s="465"/>
      <c r="EE175" s="465"/>
    </row>
    <row r="176" spans="1:135" s="635" customFormat="1" ht="70" hidden="1" customHeight="1">
      <c r="A176" s="173" t="s">
        <v>429</v>
      </c>
      <c r="B176" s="106"/>
      <c r="C176" s="334" t="str">
        <f t="shared" si="45"/>
        <v/>
      </c>
      <c r="D176" s="106"/>
      <c r="E176" s="106"/>
      <c r="F176" s="331"/>
      <c r="G176" s="78" t="s">
        <v>234</v>
      </c>
      <c r="H176" s="78"/>
      <c r="I176" s="82"/>
      <c r="J176" s="151"/>
      <c r="K176" s="237"/>
      <c r="L176" s="577"/>
      <c r="M176" s="577"/>
      <c r="N176" s="145"/>
      <c r="O176" s="83"/>
      <c r="P176" s="526"/>
      <c r="Q176" s="452"/>
      <c r="R176" s="452"/>
      <c r="S176" s="58"/>
      <c r="T176" s="585"/>
      <c r="U176" s="364">
        <f t="shared" si="44"/>
        <v>0</v>
      </c>
      <c r="V176" s="465"/>
      <c r="W176" s="219"/>
      <c r="X176" s="465"/>
      <c r="Y176" s="465"/>
      <c r="Z176" s="465"/>
      <c r="AA176" s="465"/>
      <c r="AB176" s="465"/>
      <c r="AC176" s="465"/>
      <c r="AD176" s="465"/>
      <c r="AE176" s="465"/>
      <c r="AF176" s="465"/>
      <c r="AG176" s="465"/>
      <c r="AH176" s="340"/>
      <c r="AI176" s="465"/>
      <c r="AJ176" s="457"/>
      <c r="AK176" s="457"/>
      <c r="AL176" s="465"/>
      <c r="AM176" s="465"/>
      <c r="AN176" s="610"/>
      <c r="AO176" s="595"/>
      <c r="AP176" s="340"/>
      <c r="AQ176" s="465"/>
      <c r="AR176" s="465"/>
      <c r="AS176" s="465"/>
      <c r="AT176" s="465"/>
      <c r="AU176" s="465"/>
      <c r="AV176" s="465"/>
      <c r="AW176" s="465"/>
      <c r="AX176" s="465"/>
      <c r="AY176" s="465"/>
      <c r="AZ176" s="465"/>
      <c r="BA176" s="590"/>
      <c r="BB176" s="465"/>
      <c r="BC176" s="465"/>
      <c r="BD176" s="465"/>
      <c r="BE176" s="465"/>
      <c r="BF176" s="465"/>
      <c r="BG176" s="465"/>
      <c r="BH176" s="465"/>
      <c r="BI176" s="465"/>
      <c r="BJ176" s="465"/>
      <c r="BK176" s="465"/>
      <c r="BL176" s="465"/>
      <c r="BM176" s="465"/>
      <c r="BN176" s="7"/>
      <c r="BO176" s="7"/>
      <c r="BP176" s="465"/>
      <c r="BQ176" s="465"/>
      <c r="BR176" s="465"/>
      <c r="BS176" s="465"/>
      <c r="BT176" s="465"/>
      <c r="BU176" s="465"/>
      <c r="BV176" s="465"/>
      <c r="BW176" s="465"/>
      <c r="BX176" s="465"/>
      <c r="BY176" s="465"/>
      <c r="BZ176" s="465"/>
      <c r="CA176" s="465"/>
      <c r="CB176" s="465"/>
      <c r="CC176" s="465"/>
      <c r="CD176" s="465"/>
      <c r="CE176" s="465"/>
      <c r="CF176" s="465"/>
      <c r="CG176" s="465"/>
      <c r="CH176" s="465"/>
      <c r="CI176" s="465"/>
      <c r="CJ176" s="465"/>
      <c r="CK176" s="465"/>
      <c r="CL176" s="465"/>
      <c r="CM176" s="457"/>
      <c r="CN176" s="457"/>
      <c r="CO176" s="465"/>
      <c r="CP176" s="465"/>
      <c r="CQ176" s="7"/>
      <c r="CR176" s="7"/>
      <c r="CS176" s="465"/>
      <c r="CT176" s="465"/>
      <c r="CU176" s="465"/>
      <c r="CV176" s="465"/>
      <c r="CW176" s="465"/>
      <c r="CX176" s="465"/>
      <c r="CY176" s="465"/>
      <c r="CZ176" s="590"/>
      <c r="DA176" s="465"/>
      <c r="DB176" s="465"/>
      <c r="DC176" s="465"/>
      <c r="DD176" s="465"/>
      <c r="DE176" s="465"/>
      <c r="DF176" s="465"/>
      <c r="DG176" s="465"/>
      <c r="DH176" s="465"/>
      <c r="DI176" s="465"/>
      <c r="DJ176" s="465"/>
      <c r="DK176" s="465"/>
      <c r="DL176" s="465"/>
      <c r="DM176" s="465"/>
      <c r="DN176" s="465"/>
      <c r="DO176" s="465"/>
      <c r="DP176" s="465"/>
      <c r="DQ176" s="465"/>
      <c r="DR176" s="7"/>
      <c r="DS176" s="7"/>
      <c r="DT176" s="465"/>
      <c r="DU176" s="465"/>
      <c r="DV176" s="465"/>
      <c r="DW176" s="465"/>
      <c r="DX176" s="465"/>
      <c r="DY176" s="465"/>
      <c r="DZ176" s="465"/>
      <c r="EA176" s="465"/>
      <c r="EB176" s="465"/>
      <c r="EC176" s="465"/>
      <c r="ED176" s="465"/>
      <c r="EE176" s="465"/>
    </row>
    <row r="177" spans="1:292" s="635" customFormat="1" ht="70" hidden="1" customHeight="1">
      <c r="A177" s="173" t="s">
        <v>430</v>
      </c>
      <c r="B177" s="106"/>
      <c r="C177" s="334" t="str">
        <f t="shared" si="45"/>
        <v/>
      </c>
      <c r="D177" s="106"/>
      <c r="E177" s="106"/>
      <c r="F177" s="331"/>
      <c r="G177" s="78" t="s">
        <v>234</v>
      </c>
      <c r="H177" s="78"/>
      <c r="I177" s="82"/>
      <c r="J177" s="151"/>
      <c r="K177" s="237"/>
      <c r="L177" s="577"/>
      <c r="M177" s="577"/>
      <c r="N177" s="75"/>
      <c r="O177" s="82"/>
      <c r="P177" s="526"/>
      <c r="Q177" s="452"/>
      <c r="R177" s="452"/>
      <c r="S177" s="58"/>
      <c r="T177" s="585"/>
      <c r="U177" s="364">
        <f t="shared" si="44"/>
        <v>0</v>
      </c>
      <c r="V177" s="465"/>
      <c r="W177" s="219"/>
      <c r="X177" s="465"/>
      <c r="Y177" s="465"/>
      <c r="Z177" s="465"/>
      <c r="AA177" s="465"/>
      <c r="AB177" s="465"/>
      <c r="AC177" s="465"/>
      <c r="AD177" s="465"/>
      <c r="AE177" s="465"/>
      <c r="AF177" s="465"/>
      <c r="AG177" s="465"/>
      <c r="AH177" s="340"/>
      <c r="AI177" s="465"/>
      <c r="AJ177" s="457"/>
      <c r="AK177" s="457"/>
      <c r="AL177" s="465"/>
      <c r="AM177" s="465"/>
      <c r="AN177" s="610"/>
      <c r="AO177" s="595"/>
      <c r="AP177" s="340"/>
      <c r="AQ177" s="465"/>
      <c r="AR177" s="465"/>
      <c r="AS177" s="465"/>
      <c r="AT177" s="465"/>
      <c r="AU177" s="465"/>
      <c r="AV177" s="465"/>
      <c r="AW177" s="465"/>
      <c r="AX177" s="465"/>
      <c r="AY177" s="465"/>
      <c r="AZ177" s="465"/>
      <c r="BA177" s="590"/>
      <c r="BB177" s="465"/>
      <c r="BC177" s="465"/>
      <c r="BD177" s="465"/>
      <c r="BE177" s="465"/>
      <c r="BF177" s="465"/>
      <c r="BG177" s="465"/>
      <c r="BH177" s="465"/>
      <c r="BI177" s="465"/>
      <c r="BJ177" s="465"/>
      <c r="BK177" s="465"/>
      <c r="BL177" s="465"/>
      <c r="BM177" s="465"/>
      <c r="BN177" s="7"/>
      <c r="BO177" s="7"/>
      <c r="BP177" s="465"/>
      <c r="BQ177" s="465"/>
      <c r="BR177" s="465"/>
      <c r="BS177" s="465"/>
      <c r="BT177" s="465"/>
      <c r="BU177" s="465"/>
      <c r="BV177" s="465"/>
      <c r="BW177" s="465"/>
      <c r="BX177" s="465"/>
      <c r="BY177" s="465"/>
      <c r="BZ177" s="465"/>
      <c r="CA177" s="465"/>
      <c r="CB177" s="465"/>
      <c r="CC177" s="465"/>
      <c r="CD177" s="465"/>
      <c r="CE177" s="465"/>
      <c r="CF177" s="465"/>
      <c r="CG177" s="465"/>
      <c r="CH177" s="465"/>
      <c r="CI177" s="465"/>
      <c r="CJ177" s="465"/>
      <c r="CK177" s="465"/>
      <c r="CL177" s="465"/>
      <c r="CM177" s="457"/>
      <c r="CN177" s="457"/>
      <c r="CO177" s="465"/>
      <c r="CP177" s="465"/>
      <c r="CQ177" s="7"/>
      <c r="CR177" s="7"/>
      <c r="CS177" s="465"/>
      <c r="CT177" s="465"/>
      <c r="CU177" s="465"/>
      <c r="CV177" s="465"/>
      <c r="CW177" s="465"/>
      <c r="CX177" s="465"/>
      <c r="CY177" s="465"/>
      <c r="CZ177" s="590"/>
      <c r="DA177" s="465"/>
      <c r="DB177" s="465"/>
      <c r="DC177" s="465"/>
      <c r="DD177" s="465"/>
      <c r="DE177" s="465"/>
      <c r="DF177" s="465"/>
      <c r="DG177" s="465"/>
      <c r="DH177" s="465"/>
      <c r="DI177" s="465"/>
      <c r="DJ177" s="465"/>
      <c r="DK177" s="465"/>
      <c r="DL177" s="465"/>
      <c r="DM177" s="465"/>
      <c r="DN177" s="465"/>
      <c r="DO177" s="465"/>
      <c r="DP177" s="465"/>
      <c r="DQ177" s="465"/>
      <c r="DR177" s="7"/>
      <c r="DS177" s="7"/>
      <c r="DT177" s="465"/>
      <c r="DU177" s="465"/>
      <c r="DV177" s="465"/>
      <c r="DW177" s="465"/>
      <c r="DX177" s="465"/>
      <c r="DY177" s="465"/>
      <c r="DZ177" s="465"/>
      <c r="EA177" s="465"/>
      <c r="EB177" s="465"/>
      <c r="EC177" s="465"/>
      <c r="ED177" s="465"/>
      <c r="EE177" s="465"/>
    </row>
    <row r="178" spans="1:292" s="635" customFormat="1" ht="70" hidden="1" customHeight="1">
      <c r="A178" s="173" t="s">
        <v>431</v>
      </c>
      <c r="B178" s="106"/>
      <c r="C178" s="334" t="str">
        <f t="shared" si="45"/>
        <v/>
      </c>
      <c r="D178" s="106"/>
      <c r="E178" s="106"/>
      <c r="F178" s="331"/>
      <c r="G178" s="78" t="s">
        <v>234</v>
      </c>
      <c r="H178" s="78"/>
      <c r="I178" s="82"/>
      <c r="J178" s="151"/>
      <c r="K178" s="237"/>
      <c r="L178" s="577"/>
      <c r="M178" s="577"/>
      <c r="N178" s="75"/>
      <c r="O178" s="82"/>
      <c r="P178" s="526"/>
      <c r="Q178" s="452"/>
      <c r="R178" s="452"/>
      <c r="S178" s="58"/>
      <c r="T178" s="585"/>
      <c r="U178" s="364">
        <f t="shared" si="44"/>
        <v>0</v>
      </c>
      <c r="V178" s="465"/>
      <c r="W178" s="219"/>
      <c r="X178" s="465"/>
      <c r="Y178" s="465"/>
      <c r="Z178" s="465"/>
      <c r="AA178" s="465"/>
      <c r="AB178" s="465"/>
      <c r="AC178" s="465"/>
      <c r="AD178" s="465"/>
      <c r="AE178" s="465"/>
      <c r="AF178" s="465"/>
      <c r="AG178" s="465"/>
      <c r="AH178" s="340"/>
      <c r="AI178" s="465"/>
      <c r="AJ178" s="457"/>
      <c r="AK178" s="457"/>
      <c r="AL178" s="465"/>
      <c r="AM178" s="465"/>
      <c r="AN178" s="610"/>
      <c r="AO178" s="595"/>
      <c r="AP178" s="340"/>
      <c r="AQ178" s="465"/>
      <c r="AR178" s="465"/>
      <c r="AS178" s="465"/>
      <c r="AT178" s="465"/>
      <c r="AU178" s="465"/>
      <c r="AV178" s="465"/>
      <c r="AW178" s="465"/>
      <c r="AX178" s="465"/>
      <c r="AY178" s="465"/>
      <c r="AZ178" s="465"/>
      <c r="BA178" s="590"/>
      <c r="BB178" s="465"/>
      <c r="BC178" s="465"/>
      <c r="BD178" s="465"/>
      <c r="BE178" s="465"/>
      <c r="BF178" s="465"/>
      <c r="BG178" s="465"/>
      <c r="BH178" s="465"/>
      <c r="BI178" s="465"/>
      <c r="BJ178" s="465"/>
      <c r="BK178" s="465"/>
      <c r="BL178" s="465"/>
      <c r="BM178" s="465"/>
      <c r="BN178" s="7"/>
      <c r="BO178" s="7"/>
      <c r="BP178" s="465"/>
      <c r="BQ178" s="465"/>
      <c r="BR178" s="465"/>
      <c r="BS178" s="465"/>
      <c r="BT178" s="465"/>
      <c r="BU178" s="465"/>
      <c r="BV178" s="465"/>
      <c r="BW178" s="465"/>
      <c r="BX178" s="465"/>
      <c r="BY178" s="465"/>
      <c r="BZ178" s="465"/>
      <c r="CA178" s="465"/>
      <c r="CB178" s="465"/>
      <c r="CC178" s="465"/>
      <c r="CD178" s="465"/>
      <c r="CE178" s="465"/>
      <c r="CF178" s="465"/>
      <c r="CG178" s="465"/>
      <c r="CH178" s="465"/>
      <c r="CI178" s="465"/>
      <c r="CJ178" s="465"/>
      <c r="CK178" s="465"/>
      <c r="CL178" s="465"/>
      <c r="CM178" s="457"/>
      <c r="CN178" s="457"/>
      <c r="CO178" s="465"/>
      <c r="CP178" s="465"/>
      <c r="CQ178" s="7"/>
      <c r="CR178" s="7"/>
      <c r="CS178" s="465"/>
      <c r="CT178" s="465"/>
      <c r="CU178" s="465"/>
      <c r="CV178" s="465"/>
      <c r="CW178" s="465"/>
      <c r="CX178" s="465"/>
      <c r="CY178" s="465"/>
      <c r="CZ178" s="590"/>
      <c r="DA178" s="465"/>
      <c r="DB178" s="465"/>
      <c r="DC178" s="465"/>
      <c r="DD178" s="465"/>
      <c r="DE178" s="465"/>
      <c r="DF178" s="465"/>
      <c r="DG178" s="465"/>
      <c r="DH178" s="465"/>
      <c r="DI178" s="465"/>
      <c r="DJ178" s="465"/>
      <c r="DK178" s="465"/>
      <c r="DL178" s="465"/>
      <c r="DM178" s="465"/>
      <c r="DN178" s="465"/>
      <c r="DO178" s="465"/>
      <c r="DP178" s="465"/>
      <c r="DQ178" s="465"/>
      <c r="DR178" s="7"/>
      <c r="DS178" s="7"/>
      <c r="DT178" s="465"/>
      <c r="DU178" s="465"/>
      <c r="DV178" s="465"/>
      <c r="DW178" s="465"/>
      <c r="DX178" s="465"/>
      <c r="DY178" s="465"/>
      <c r="DZ178" s="465"/>
      <c r="EA178" s="465"/>
      <c r="EB178" s="465"/>
      <c r="EC178" s="465"/>
      <c r="ED178" s="465"/>
      <c r="EE178" s="465"/>
    </row>
    <row r="179" spans="1:292" ht="70" hidden="1" customHeight="1">
      <c r="N179" s="144"/>
      <c r="U179" s="274"/>
      <c r="V179" s="274"/>
    </row>
    <row r="180" spans="1:292" ht="70" customHeight="1">
      <c r="A180" s="225" t="s">
        <v>440</v>
      </c>
      <c r="B180" s="224"/>
      <c r="C180" s="224"/>
      <c r="D180" s="224"/>
      <c r="E180" s="224"/>
      <c r="F180" s="227"/>
      <c r="G180" s="227"/>
      <c r="H180" s="227"/>
      <c r="I180" s="227"/>
      <c r="J180" s="227"/>
      <c r="K180" s="249"/>
      <c r="L180" s="227"/>
      <c r="M180" s="227"/>
      <c r="N180" s="222"/>
      <c r="O180" s="227"/>
      <c r="P180" s="227"/>
      <c r="Q180" s="522"/>
      <c r="R180" s="522"/>
      <c r="S180" s="522"/>
      <c r="T180" s="522"/>
      <c r="U180" s="258"/>
      <c r="V180" s="258"/>
      <c r="W180" s="522"/>
      <c r="X180" s="525"/>
      <c r="Y180" s="525"/>
      <c r="Z180" s="525"/>
      <c r="AA180" s="525"/>
      <c r="AB180" s="525"/>
      <c r="AC180" s="525"/>
      <c r="AD180" s="525"/>
      <c r="AE180" s="525"/>
      <c r="AF180" s="525"/>
      <c r="AG180" s="525"/>
      <c r="AH180" s="525"/>
      <c r="AI180" s="525"/>
      <c r="AJ180" s="525"/>
      <c r="AK180" s="525"/>
      <c r="AL180" s="525"/>
      <c r="AM180" s="525"/>
      <c r="AN180" s="525"/>
      <c r="AO180" s="525"/>
      <c r="AP180" s="525"/>
      <c r="AQ180" s="525"/>
      <c r="AR180" s="525"/>
      <c r="AS180" s="525"/>
      <c r="AT180" s="525"/>
      <c r="AU180" s="525"/>
      <c r="AV180" s="525"/>
      <c r="AW180" s="525"/>
      <c r="AX180" s="525"/>
      <c r="AY180" s="525"/>
      <c r="AZ180" s="525"/>
      <c r="BA180" s="525"/>
      <c r="BB180" s="525"/>
      <c r="BC180" s="525"/>
      <c r="BD180" s="525"/>
      <c r="BE180" s="525"/>
      <c r="BF180" s="525"/>
      <c r="BG180" s="525"/>
      <c r="BH180" s="525"/>
      <c r="BI180" s="525"/>
      <c r="BJ180" s="525"/>
      <c r="BK180" s="525"/>
      <c r="BL180" s="525"/>
      <c r="BM180" s="525"/>
      <c r="BN180" s="525"/>
      <c r="BO180" s="525"/>
      <c r="BP180" s="525"/>
      <c r="BQ180" s="525"/>
      <c r="BR180" s="525"/>
      <c r="BS180" s="525"/>
      <c r="BT180" s="525"/>
      <c r="BU180" s="525"/>
      <c r="BV180" s="525"/>
      <c r="BW180" s="525"/>
      <c r="BX180" s="525"/>
      <c r="BY180" s="525"/>
      <c r="BZ180" s="525"/>
      <c r="CA180" s="525"/>
      <c r="CB180" s="525"/>
      <c r="CC180" s="525"/>
      <c r="CD180" s="525"/>
      <c r="CE180" s="525"/>
      <c r="CF180" s="525"/>
      <c r="CG180" s="525"/>
      <c r="CH180" s="525"/>
      <c r="CI180" s="525"/>
      <c r="CJ180" s="525"/>
      <c r="CK180" s="525"/>
      <c r="CL180" s="525"/>
      <c r="CM180" s="525"/>
      <c r="CN180" s="525"/>
      <c r="CO180" s="525"/>
      <c r="CP180" s="525"/>
      <c r="CQ180" s="525"/>
      <c r="CR180" s="525"/>
      <c r="CS180" s="525"/>
      <c r="CT180" s="525"/>
      <c r="CU180" s="525"/>
      <c r="CV180" s="525"/>
      <c r="CW180" s="525"/>
      <c r="CX180" s="525"/>
      <c r="CY180" s="525"/>
      <c r="CZ180" s="525"/>
      <c r="DA180" s="525"/>
      <c r="DB180" s="525"/>
      <c r="DC180" s="525"/>
      <c r="DD180" s="525"/>
      <c r="DE180" s="525"/>
      <c r="DF180" s="525"/>
      <c r="DG180" s="525"/>
      <c r="DH180" s="525"/>
      <c r="DI180" s="525"/>
      <c r="DJ180" s="525"/>
      <c r="DK180" s="525"/>
      <c r="DL180" s="525"/>
      <c r="DM180" s="525"/>
      <c r="DN180" s="525"/>
      <c r="DO180" s="525"/>
      <c r="DP180" s="525"/>
      <c r="DQ180" s="525"/>
      <c r="DR180" s="525"/>
      <c r="DS180" s="525"/>
      <c r="DT180" s="525"/>
      <c r="DU180" s="525"/>
      <c r="DV180" s="525"/>
      <c r="DW180" s="525"/>
      <c r="DX180" s="525"/>
      <c r="DY180" s="525"/>
      <c r="DZ180" s="525"/>
      <c r="EA180" s="525"/>
      <c r="EB180" s="525"/>
      <c r="EC180" s="525"/>
      <c r="ED180" s="525"/>
      <c r="EE180" s="525"/>
      <c r="EF180" s="525"/>
      <c r="EG180" s="525"/>
      <c r="EH180" s="525"/>
      <c r="EI180" s="525"/>
      <c r="EJ180" s="525"/>
      <c r="EK180" s="525"/>
      <c r="EL180" s="525"/>
      <c r="EM180" s="525"/>
      <c r="EN180" s="525"/>
      <c r="EO180" s="525"/>
      <c r="EP180" s="525"/>
      <c r="EQ180" s="525"/>
      <c r="ER180" s="525"/>
      <c r="ES180" s="525"/>
      <c r="ET180" s="525"/>
      <c r="EU180" s="525"/>
      <c r="EV180" s="525"/>
      <c r="EW180" s="525"/>
      <c r="EX180" s="525"/>
      <c r="EY180" s="525"/>
      <c r="EZ180" s="525"/>
      <c r="FA180" s="525"/>
      <c r="FB180" s="525"/>
      <c r="FC180" s="525"/>
      <c r="FD180" s="525"/>
      <c r="FE180" s="525"/>
      <c r="FF180" s="525"/>
      <c r="FG180" s="525"/>
      <c r="FH180" s="525"/>
      <c r="FI180" s="525"/>
      <c r="FJ180" s="525"/>
      <c r="FK180" s="525"/>
      <c r="FL180" s="525"/>
      <c r="FM180" s="525"/>
      <c r="FN180" s="525"/>
      <c r="FO180" s="525"/>
      <c r="FP180" s="525"/>
      <c r="FQ180" s="525"/>
      <c r="FR180" s="525"/>
      <c r="FS180" s="525"/>
      <c r="FT180" s="525"/>
      <c r="FU180" s="525"/>
      <c r="FV180" s="525"/>
      <c r="FW180" s="525"/>
      <c r="FX180" s="525"/>
      <c r="FY180" s="525"/>
      <c r="FZ180" s="525"/>
      <c r="GA180" s="525"/>
      <c r="GB180" s="525"/>
      <c r="GC180" s="525"/>
      <c r="GD180" s="525"/>
      <c r="GE180" s="525"/>
      <c r="GF180" s="525"/>
      <c r="GG180" s="525"/>
      <c r="GH180" s="525"/>
      <c r="GI180" s="525"/>
      <c r="GJ180" s="525"/>
      <c r="GK180" s="525"/>
      <c r="GL180" s="525"/>
      <c r="GM180" s="525"/>
      <c r="GN180" s="525"/>
      <c r="GO180" s="525"/>
      <c r="GP180" s="525"/>
      <c r="GQ180" s="525"/>
      <c r="GR180" s="525"/>
      <c r="GS180" s="525"/>
      <c r="GT180" s="525"/>
      <c r="GU180" s="525"/>
      <c r="GV180" s="525"/>
      <c r="GW180" s="525"/>
      <c r="GX180" s="525"/>
      <c r="GY180" s="525"/>
      <c r="GZ180" s="525"/>
      <c r="HA180" s="525"/>
      <c r="HB180" s="525"/>
      <c r="HC180" s="525"/>
      <c r="HD180" s="525"/>
      <c r="HE180" s="525"/>
      <c r="HF180" s="525"/>
      <c r="HG180" s="525"/>
    </row>
    <row r="181" spans="1:292" ht="70" hidden="1" customHeight="1">
      <c r="A181" s="371" t="s">
        <v>441</v>
      </c>
      <c r="B181" s="282"/>
      <c r="C181" s="282"/>
      <c r="D181" s="282"/>
      <c r="E181" s="282"/>
      <c r="F181" s="290">
        <v>45212</v>
      </c>
      <c r="G181" s="576" t="s">
        <v>442</v>
      </c>
      <c r="H181" s="576"/>
      <c r="I181" s="595" t="s">
        <v>38</v>
      </c>
      <c r="J181" s="463" t="s">
        <v>443</v>
      </c>
      <c r="K181" s="243" t="s">
        <v>33</v>
      </c>
      <c r="L181" s="636" t="s">
        <v>34</v>
      </c>
      <c r="M181" s="636"/>
      <c r="N181" s="146">
        <v>45801</v>
      </c>
      <c r="O181" s="64"/>
      <c r="P181" s="526">
        <v>45302</v>
      </c>
      <c r="Q181" s="637">
        <f>P181+50</f>
        <v>45352</v>
      </c>
      <c r="R181" s="526">
        <f>T181-175</f>
        <v>45465</v>
      </c>
      <c r="S181" s="36">
        <v>45622</v>
      </c>
      <c r="T181" s="65">
        <v>45640</v>
      </c>
      <c r="U181" s="372">
        <f>_xlfn.DAYS(T181,N181)</f>
        <v>-161</v>
      </c>
      <c r="V181" s="530" t="s">
        <v>444</v>
      </c>
      <c r="W181" s="595" t="s">
        <v>445</v>
      </c>
      <c r="X181" s="592"/>
      <c r="Y181" s="592"/>
      <c r="Z181" s="592"/>
      <c r="AA181" s="592"/>
      <c r="AB181" s="592"/>
      <c r="AC181" s="4" t="s">
        <v>446</v>
      </c>
      <c r="AD181" s="638"/>
      <c r="AE181" s="475" t="s">
        <v>69</v>
      </c>
      <c r="AF181" s="476"/>
      <c r="AG181" s="476"/>
      <c r="AH181" s="477"/>
      <c r="AI181" s="590" t="s">
        <v>155</v>
      </c>
      <c r="AJ181" s="457"/>
      <c r="AK181" s="457"/>
      <c r="AL181" s="456"/>
      <c r="AM181" s="456"/>
      <c r="AN181" s="456"/>
      <c r="AO181" s="456"/>
      <c r="AP181" s="456"/>
      <c r="AQ181" s="456"/>
      <c r="AR181" s="456"/>
      <c r="AS181" s="456"/>
      <c r="AT181" s="456"/>
      <c r="AU181" s="456"/>
      <c r="AV181" s="456"/>
      <c r="AW181" s="456"/>
      <c r="AX181" s="456"/>
      <c r="AY181" s="456"/>
      <c r="AZ181" s="465"/>
      <c r="BA181" s="465"/>
      <c r="BB181" s="465"/>
      <c r="BC181" s="456"/>
      <c r="BD181" s="456"/>
      <c r="BE181" s="456"/>
      <c r="BF181" s="456"/>
      <c r="BG181" s="456"/>
      <c r="BH181" s="456"/>
      <c r="BI181" s="456"/>
      <c r="BJ181" s="456"/>
      <c r="BK181" s="456"/>
      <c r="BL181" s="456"/>
      <c r="BM181" s="456"/>
      <c r="BN181" s="456"/>
      <c r="BO181" s="456"/>
      <c r="BP181" s="456"/>
      <c r="BQ181" s="456"/>
      <c r="BR181" s="456"/>
      <c r="BS181" s="456"/>
      <c r="BT181" s="456"/>
      <c r="BU181" s="456"/>
      <c r="BV181" s="456"/>
      <c r="BW181" s="456"/>
      <c r="BX181" s="456"/>
      <c r="BY181" s="456"/>
      <c r="BZ181" s="456"/>
      <c r="CA181" s="456"/>
      <c r="CB181" s="456"/>
      <c r="CC181" s="456"/>
      <c r="CD181" s="456"/>
      <c r="CE181" s="456"/>
      <c r="CF181" s="456"/>
      <c r="CG181" s="456"/>
      <c r="CH181" s="456"/>
      <c r="CI181" s="456"/>
      <c r="CJ181" s="456"/>
      <c r="CK181" s="456"/>
      <c r="CL181" s="456"/>
      <c r="CM181" s="456"/>
      <c r="CN181" s="457"/>
      <c r="CO181" s="457"/>
      <c r="CP181" s="456"/>
      <c r="CQ181" s="456"/>
      <c r="CR181" s="456"/>
      <c r="CS181" s="456"/>
      <c r="CT181" s="456"/>
      <c r="CU181" s="456"/>
      <c r="CV181" s="456"/>
      <c r="CW181" s="456"/>
      <c r="CX181" s="456"/>
      <c r="CY181" s="456"/>
      <c r="CZ181" s="456"/>
      <c r="DA181" s="456"/>
      <c r="DB181" s="456"/>
      <c r="DC181" s="456"/>
      <c r="DD181" s="456"/>
      <c r="DE181" s="456"/>
      <c r="DF181" s="456"/>
      <c r="DG181" s="456"/>
      <c r="DH181" s="456"/>
      <c r="DI181" s="456"/>
      <c r="DJ181" s="456"/>
      <c r="DK181" s="36"/>
      <c r="DL181" s="456"/>
      <c r="DM181" s="456"/>
      <c r="DN181" s="456"/>
      <c r="DO181" s="456"/>
      <c r="DP181" s="456"/>
      <c r="DQ181" s="456"/>
      <c r="DR181" s="456"/>
      <c r="DS181" s="456"/>
      <c r="DT181" s="456"/>
      <c r="DU181" s="456"/>
      <c r="DV181" s="456"/>
      <c r="DW181" s="456"/>
      <c r="DX181" s="456"/>
      <c r="DY181" s="456"/>
      <c r="DZ181" s="456"/>
      <c r="EA181" s="456"/>
      <c r="EB181" s="456"/>
      <c r="EC181" s="456"/>
      <c r="ED181" s="456"/>
      <c r="EE181" s="456"/>
    </row>
    <row r="182" spans="1:292" ht="70" hidden="1" customHeight="1">
      <c r="A182" s="371" t="s">
        <v>447</v>
      </c>
      <c r="B182" s="282"/>
      <c r="C182" s="282" t="s">
        <v>71</v>
      </c>
      <c r="D182" s="282">
        <v>2322</v>
      </c>
      <c r="E182" s="282">
        <v>0</v>
      </c>
      <c r="F182" s="373" t="s">
        <v>448</v>
      </c>
      <c r="G182" s="577" t="s">
        <v>442</v>
      </c>
      <c r="H182" s="577"/>
      <c r="I182" s="595" t="s">
        <v>162</v>
      </c>
      <c r="J182" s="463" t="s">
        <v>449</v>
      </c>
      <c r="K182" s="246" t="s">
        <v>145</v>
      </c>
      <c r="L182" s="158" t="s">
        <v>73</v>
      </c>
      <c r="M182" s="529"/>
      <c r="N182" s="146">
        <v>45921</v>
      </c>
      <c r="O182" s="64">
        <v>45863</v>
      </c>
      <c r="P182" s="526">
        <v>45381</v>
      </c>
      <c r="Q182" s="637">
        <f>P182+50</f>
        <v>45431</v>
      </c>
      <c r="R182" s="526">
        <f t="shared" ref="R182" si="46">T182-175</f>
        <v>45688</v>
      </c>
      <c r="S182" s="526">
        <v>45710</v>
      </c>
      <c r="T182" s="585">
        <v>45863</v>
      </c>
      <c r="U182" s="372">
        <f>_xlfn.DAYS(T182,N182)</f>
        <v>-58</v>
      </c>
      <c r="V182" s="275" t="s">
        <v>450</v>
      </c>
      <c r="W182" s="70" t="s">
        <v>451</v>
      </c>
      <c r="X182" s="639"/>
      <c r="Y182" s="639"/>
      <c r="Z182" s="639"/>
      <c r="AA182" s="639"/>
      <c r="AB182" s="639"/>
      <c r="AC182" s="639"/>
      <c r="AD182" s="639"/>
      <c r="AE182" s="639"/>
      <c r="AF182" s="592" t="s">
        <v>247</v>
      </c>
      <c r="AG182" s="592"/>
      <c r="AH182" s="592"/>
      <c r="AI182" s="592"/>
      <c r="AJ182" s="457"/>
      <c r="AK182" s="457"/>
      <c r="AL182" s="640"/>
      <c r="AM182" s="640"/>
      <c r="AN182" s="640"/>
      <c r="AO182" s="640"/>
      <c r="AP182" s="640"/>
      <c r="AQ182" s="640"/>
      <c r="AR182" s="640"/>
      <c r="AS182" s="640"/>
      <c r="AT182" s="640"/>
      <c r="AU182" s="640"/>
      <c r="AV182" s="640"/>
      <c r="AW182" s="4" t="s">
        <v>446</v>
      </c>
      <c r="AX182" s="638"/>
      <c r="AY182" s="641" t="s">
        <v>452</v>
      </c>
      <c r="AZ182" s="642"/>
      <c r="BA182" s="642"/>
      <c r="BB182" s="642"/>
      <c r="BC182" s="642"/>
      <c r="BD182" s="643" t="s">
        <v>453</v>
      </c>
      <c r="BE182" s="644"/>
      <c r="BF182" s="644"/>
      <c r="BG182" s="644"/>
      <c r="BH182" s="644"/>
      <c r="BI182" s="645"/>
      <c r="BJ182" s="646" t="s">
        <v>454</v>
      </c>
      <c r="BK182" s="647"/>
      <c r="BL182" s="647"/>
      <c r="BM182" s="647"/>
      <c r="BN182" s="647"/>
      <c r="BO182" s="647"/>
      <c r="BP182" s="648"/>
      <c r="BQ182" s="516"/>
      <c r="BR182" s="456"/>
      <c r="BS182" s="456"/>
      <c r="BT182" s="456"/>
      <c r="BU182" s="456"/>
      <c r="BV182" s="456"/>
      <c r="BW182" s="456"/>
      <c r="BX182" s="456"/>
      <c r="BY182" s="456"/>
      <c r="BZ182" s="456"/>
      <c r="CA182" s="456"/>
      <c r="CB182" s="456"/>
      <c r="CC182" s="456"/>
      <c r="CD182" s="456"/>
      <c r="CE182" s="456"/>
      <c r="CF182" s="456"/>
      <c r="CG182" s="456"/>
      <c r="CH182" s="456"/>
      <c r="CI182" s="456"/>
      <c r="CJ182" s="456"/>
      <c r="CK182" s="456"/>
      <c r="CL182" s="456"/>
      <c r="CM182" s="456"/>
      <c r="CN182" s="457"/>
      <c r="CO182" s="457"/>
      <c r="CP182" s="456"/>
      <c r="CQ182" s="456"/>
      <c r="CR182" s="465"/>
      <c r="CS182" s="465"/>
      <c r="CT182" s="456"/>
      <c r="CU182" s="456"/>
      <c r="CV182" s="456"/>
      <c r="CW182" s="456"/>
      <c r="CX182" s="456"/>
      <c r="CY182" s="456"/>
      <c r="CZ182" s="456"/>
      <c r="DA182" s="456"/>
      <c r="DB182" s="456"/>
      <c r="DC182" s="456"/>
      <c r="DD182" s="456"/>
      <c r="DE182" s="456"/>
      <c r="DF182" s="456"/>
      <c r="DG182" s="456"/>
      <c r="DH182" s="456"/>
      <c r="DI182" s="456"/>
      <c r="DJ182" s="456"/>
      <c r="DK182" s="526"/>
      <c r="DL182" s="456"/>
      <c r="DM182" s="456"/>
      <c r="DN182" s="456"/>
      <c r="DO182" s="456"/>
      <c r="DP182" s="456"/>
      <c r="DQ182" s="456"/>
      <c r="DR182" s="456"/>
      <c r="DS182" s="456"/>
      <c r="DT182" s="456"/>
      <c r="DU182" s="456"/>
      <c r="DV182" s="456"/>
      <c r="DW182" s="456"/>
      <c r="DX182" s="456"/>
      <c r="DY182" s="456"/>
      <c r="DZ182" s="456"/>
      <c r="EA182" s="456"/>
      <c r="EB182" s="456"/>
      <c r="EC182" s="456"/>
      <c r="ED182" s="456"/>
      <c r="EE182" s="456"/>
    </row>
    <row r="183" spans="1:292" ht="70" hidden="1" customHeight="1">
      <c r="A183" s="281" t="s">
        <v>455</v>
      </c>
      <c r="B183" s="26"/>
      <c r="C183" s="26" t="s">
        <v>71</v>
      </c>
      <c r="D183" s="26">
        <v>1919</v>
      </c>
      <c r="E183" s="282">
        <v>0</v>
      </c>
      <c r="F183" s="335">
        <v>45756</v>
      </c>
      <c r="G183" s="576" t="s">
        <v>442</v>
      </c>
      <c r="H183" s="649"/>
      <c r="I183" s="650" t="s">
        <v>132</v>
      </c>
      <c r="J183" s="317" t="s">
        <v>456</v>
      </c>
      <c r="K183" s="243"/>
      <c r="L183" s="529" t="s">
        <v>34</v>
      </c>
      <c r="M183" s="30">
        <v>45701</v>
      </c>
      <c r="N183" s="147">
        <v>46041</v>
      </c>
      <c r="O183" s="30">
        <v>46018</v>
      </c>
      <c r="P183" s="526">
        <v>45444</v>
      </c>
      <c r="Q183" s="637">
        <f>P183+50</f>
        <v>45494</v>
      </c>
      <c r="R183" s="526">
        <f>T183-175</f>
        <v>45717</v>
      </c>
      <c r="S183" s="526">
        <v>45772</v>
      </c>
      <c r="T183" s="585">
        <v>45892</v>
      </c>
      <c r="U183" s="372">
        <f>T183-O183</f>
        <v>-126</v>
      </c>
      <c r="V183" s="530" t="s">
        <v>457</v>
      </c>
      <c r="W183" s="211" t="s">
        <v>458</v>
      </c>
      <c r="X183" s="651"/>
      <c r="Y183" s="651"/>
      <c r="Z183" s="534" t="s">
        <v>31</v>
      </c>
      <c r="AA183" s="651"/>
      <c r="AB183" s="651"/>
      <c r="AC183" s="651"/>
      <c r="AD183" s="651"/>
      <c r="AE183" s="651"/>
      <c r="AF183" s="639" t="s">
        <v>66</v>
      </c>
      <c r="AG183" s="639"/>
      <c r="AH183" s="639"/>
      <c r="AI183" s="639"/>
      <c r="AJ183" s="457"/>
      <c r="AK183" s="457"/>
      <c r="AL183" s="639"/>
      <c r="AM183" s="639"/>
      <c r="AN183" s="639"/>
      <c r="AO183" s="639"/>
      <c r="AP183" s="639"/>
      <c r="AQ183" s="639"/>
      <c r="AR183" s="639"/>
      <c r="AS183" s="639"/>
      <c r="AT183" s="639"/>
      <c r="AU183" s="639"/>
      <c r="AV183" s="639"/>
      <c r="AW183" s="639"/>
      <c r="AX183" s="639"/>
      <c r="AY183" s="639"/>
      <c r="AZ183" s="639"/>
      <c r="BA183" s="639"/>
      <c r="BB183" s="592" t="s">
        <v>247</v>
      </c>
      <c r="BC183" s="592"/>
      <c r="BD183" s="592"/>
      <c r="BE183" s="592"/>
      <c r="BF183" s="592"/>
      <c r="BG183" s="592"/>
      <c r="BH183" s="592"/>
      <c r="BI183" s="592"/>
      <c r="BJ183" s="592"/>
      <c r="BK183" s="592"/>
      <c r="BL183" s="592"/>
      <c r="BM183" s="400" t="s">
        <v>446</v>
      </c>
      <c r="BN183" s="401"/>
      <c r="BO183" s="401"/>
      <c r="BP183" s="652" t="s">
        <v>459</v>
      </c>
      <c r="BQ183" s="456"/>
      <c r="BR183" s="456"/>
      <c r="BS183" s="456"/>
      <c r="BT183" s="456"/>
      <c r="BU183" s="456"/>
      <c r="BV183" s="456"/>
      <c r="BW183" s="456"/>
      <c r="BX183" s="456"/>
      <c r="BY183" s="456"/>
      <c r="BZ183" s="456"/>
      <c r="CA183" s="456"/>
      <c r="CB183" s="456"/>
      <c r="CC183" s="456"/>
      <c r="CD183" s="456"/>
      <c r="CE183" s="456"/>
      <c r="CF183" s="456"/>
      <c r="CG183" s="456"/>
      <c r="CH183" s="456"/>
      <c r="CI183" s="456"/>
      <c r="CJ183" s="456"/>
      <c r="CK183" s="456"/>
      <c r="CL183" s="456"/>
      <c r="CM183" s="456"/>
      <c r="CN183" s="457"/>
      <c r="CO183" s="457"/>
      <c r="CP183" s="456"/>
      <c r="CQ183" s="456"/>
      <c r="CR183" s="465"/>
      <c r="CS183" s="465"/>
      <c r="CT183" s="456"/>
      <c r="CU183" s="456"/>
      <c r="CV183" s="456"/>
      <c r="CW183" s="456"/>
      <c r="CX183" s="456"/>
      <c r="CY183" s="456"/>
      <c r="CZ183" s="456"/>
      <c r="DA183" s="456"/>
      <c r="DB183" s="456"/>
      <c r="DC183" s="456"/>
      <c r="DD183" s="456"/>
      <c r="DE183" s="456"/>
      <c r="DF183" s="456"/>
      <c r="DG183" s="456"/>
      <c r="DH183" s="456"/>
      <c r="DI183" s="456"/>
      <c r="DJ183" s="456"/>
      <c r="DK183" s="526"/>
      <c r="DL183" s="456"/>
      <c r="DM183" s="456"/>
      <c r="DN183" s="456"/>
      <c r="DO183" s="456"/>
      <c r="DP183" s="456"/>
      <c r="DQ183" s="456"/>
      <c r="DR183" s="456"/>
      <c r="DS183" s="456"/>
      <c r="DT183" s="456"/>
      <c r="DU183" s="456"/>
      <c r="DV183" s="456"/>
      <c r="DW183" s="456"/>
      <c r="DX183" s="456"/>
      <c r="DY183" s="456"/>
      <c r="DZ183" s="456"/>
      <c r="EA183" s="456"/>
      <c r="EB183" s="456"/>
      <c r="EC183" s="456"/>
      <c r="ED183" s="456"/>
      <c r="EE183" s="456"/>
    </row>
    <row r="184" spans="1:292" ht="70" hidden="1" customHeight="1">
      <c r="A184" s="281" t="s">
        <v>460</v>
      </c>
      <c r="B184" s="26"/>
      <c r="C184" s="26" t="s">
        <v>71</v>
      </c>
      <c r="D184" s="26">
        <v>1220</v>
      </c>
      <c r="E184" s="282">
        <v>0</v>
      </c>
      <c r="F184" s="374">
        <v>45786</v>
      </c>
      <c r="G184" s="577" t="s">
        <v>442</v>
      </c>
      <c r="H184" s="577"/>
      <c r="I184" s="595" t="s">
        <v>185</v>
      </c>
      <c r="J184" s="463" t="s">
        <v>745</v>
      </c>
      <c r="K184" s="236"/>
      <c r="L184" s="529" t="s">
        <v>73</v>
      </c>
      <c r="M184" s="33">
        <v>45828</v>
      </c>
      <c r="N184" s="42">
        <v>46161</v>
      </c>
      <c r="O184" s="33">
        <v>46161</v>
      </c>
      <c r="P184" s="578">
        <v>45505</v>
      </c>
      <c r="Q184" s="637">
        <f>P184+60</f>
        <v>45565</v>
      </c>
      <c r="R184" s="526">
        <f t="shared" ref="R184:R185" si="47">T184-175</f>
        <v>45822</v>
      </c>
      <c r="S184" s="526">
        <v>45834</v>
      </c>
      <c r="T184" s="585">
        <v>45997</v>
      </c>
      <c r="U184" s="372">
        <f t="shared" ref="U184" si="48">T184-O184</f>
        <v>-164</v>
      </c>
      <c r="V184" s="267" t="s">
        <v>774</v>
      </c>
      <c r="W184" s="211" t="s">
        <v>461</v>
      </c>
      <c r="X184" s="653"/>
      <c r="Y184" s="653"/>
      <c r="Z184" s="653"/>
      <c r="AA184" s="653"/>
      <c r="AB184" s="653"/>
      <c r="AC184" s="653"/>
      <c r="AD184" s="653"/>
      <c r="AE184" s="653"/>
      <c r="AF184" s="651" t="s">
        <v>77</v>
      </c>
      <c r="AG184" s="375" t="s">
        <v>19</v>
      </c>
      <c r="AH184" s="651"/>
      <c r="AI184" s="651"/>
      <c r="AJ184" s="457"/>
      <c r="AK184" s="457"/>
      <c r="AL184" s="651"/>
      <c r="AM184" s="651"/>
      <c r="AN184" s="534" t="s">
        <v>31</v>
      </c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39" t="s">
        <v>66</v>
      </c>
      <c r="BC184" s="639"/>
      <c r="BD184" s="639"/>
      <c r="BE184" s="639"/>
      <c r="BF184" s="639"/>
      <c r="BG184" s="639"/>
      <c r="BH184" s="639"/>
      <c r="BI184" s="639"/>
      <c r="BJ184" s="639"/>
      <c r="BK184" s="639"/>
      <c r="BL184" s="639"/>
      <c r="BM184" s="639"/>
      <c r="BN184" s="639"/>
      <c r="BO184" s="639"/>
      <c r="BP184" s="639"/>
      <c r="BQ184" s="639"/>
      <c r="BR184" s="639"/>
      <c r="BS184" s="639"/>
      <c r="BT184" s="639"/>
      <c r="BU184" s="639"/>
      <c r="BV184" s="592" t="s">
        <v>247</v>
      </c>
      <c r="BW184" s="592"/>
      <c r="BX184" s="592"/>
      <c r="BY184" s="592"/>
      <c r="BZ184" s="592"/>
      <c r="CA184" s="592"/>
      <c r="CB184" s="4" t="s">
        <v>446</v>
      </c>
      <c r="CC184" s="638"/>
      <c r="CD184" s="641"/>
      <c r="CE184" s="642"/>
      <c r="CF184" s="642"/>
      <c r="CG184" s="642"/>
      <c r="CH184" s="642"/>
      <c r="CI184" s="642"/>
      <c r="CJ184" s="642"/>
      <c r="CK184" s="642"/>
      <c r="CL184" s="642"/>
      <c r="CM184" s="457"/>
      <c r="CN184" s="457"/>
      <c r="CO184" s="654"/>
      <c r="CP184" s="641" t="s">
        <v>462</v>
      </c>
      <c r="CQ184" s="642"/>
      <c r="CR184" s="642"/>
      <c r="CS184" s="642"/>
      <c r="CT184" s="642"/>
      <c r="CU184" s="642"/>
      <c r="CV184" s="642"/>
      <c r="CW184" s="642"/>
      <c r="CX184" s="457"/>
      <c r="CY184" s="654"/>
      <c r="CZ184" s="516" t="s">
        <v>130</v>
      </c>
      <c r="DA184" s="456"/>
      <c r="DB184" s="456"/>
      <c r="DC184" s="456"/>
      <c r="DD184" s="456"/>
      <c r="DE184" s="456"/>
      <c r="DF184" s="456"/>
      <c r="DG184" s="456"/>
      <c r="DH184" s="456"/>
      <c r="DI184" s="456"/>
      <c r="DJ184" s="456"/>
      <c r="DK184" s="456"/>
      <c r="DL184" s="526"/>
      <c r="DM184" s="456"/>
      <c r="DN184" s="456"/>
      <c r="DO184" s="456"/>
      <c r="DP184" s="456"/>
      <c r="DQ184" s="456"/>
      <c r="DR184" s="456"/>
      <c r="DS184" s="456"/>
      <c r="DT184" s="456"/>
      <c r="DU184" s="456"/>
      <c r="DV184" s="456"/>
      <c r="DW184" s="456"/>
      <c r="DX184" s="456"/>
      <c r="DY184" s="456"/>
      <c r="DZ184" s="456"/>
      <c r="EA184" s="456"/>
      <c r="EB184" s="456"/>
      <c r="EC184" s="456"/>
      <c r="ED184" s="456"/>
      <c r="EE184" s="456"/>
      <c r="EF184" s="456"/>
      <c r="EG184" s="456"/>
      <c r="EH184" s="456"/>
      <c r="EI184" s="456"/>
      <c r="EJ184" s="456"/>
      <c r="EK184" s="456"/>
      <c r="EL184" s="457"/>
      <c r="EM184" s="457"/>
      <c r="EN184" s="456"/>
      <c r="EO184" s="456"/>
      <c r="EP184" s="456"/>
      <c r="EQ184" s="456"/>
      <c r="ER184" s="456"/>
      <c r="ES184" s="456"/>
      <c r="ET184" s="456"/>
      <c r="EU184" s="456"/>
      <c r="EV184" s="456"/>
      <c r="EW184" s="456"/>
      <c r="EX184" s="456"/>
      <c r="EY184" s="456"/>
      <c r="EZ184" s="456"/>
      <c r="FA184" s="456"/>
      <c r="FB184" s="456"/>
      <c r="FC184" s="456"/>
      <c r="FD184" s="456"/>
      <c r="FE184" s="456"/>
      <c r="FF184" s="456"/>
      <c r="FG184" s="456"/>
      <c r="FH184" s="456"/>
      <c r="FI184" s="456"/>
      <c r="FJ184" s="456"/>
      <c r="FK184" s="456"/>
      <c r="FL184" s="456"/>
      <c r="FM184" s="456"/>
      <c r="FN184" s="456"/>
      <c r="FO184" s="456"/>
      <c r="FP184" s="456"/>
      <c r="FQ184" s="456"/>
      <c r="FR184" s="456"/>
      <c r="FS184" s="456"/>
      <c r="FT184" s="456"/>
      <c r="FU184" s="456"/>
      <c r="FV184" s="456"/>
      <c r="FW184" s="456"/>
      <c r="FX184" s="456"/>
      <c r="FY184" s="456"/>
      <c r="FZ184" s="456"/>
      <c r="GA184" s="456"/>
      <c r="GB184" s="456"/>
      <c r="GC184" s="456"/>
      <c r="GD184" s="456"/>
      <c r="GE184" s="456"/>
      <c r="GF184" s="456"/>
      <c r="GG184" s="456"/>
      <c r="GH184" s="456"/>
      <c r="GI184" s="456"/>
      <c r="GJ184" s="457"/>
      <c r="GK184" s="457"/>
      <c r="GL184" s="456"/>
      <c r="GM184" s="456"/>
      <c r="GN184" s="456"/>
      <c r="GO184" s="456"/>
      <c r="GP184" s="456"/>
      <c r="GQ184" s="456"/>
      <c r="GR184" s="456"/>
      <c r="GS184" s="456"/>
      <c r="GT184" s="456"/>
      <c r="GU184" s="456"/>
      <c r="GV184" s="456"/>
      <c r="GW184" s="456"/>
      <c r="GX184" s="456"/>
      <c r="GY184" s="456"/>
      <c r="GZ184" s="456"/>
      <c r="HA184" s="456"/>
      <c r="HB184" s="456"/>
      <c r="HC184" s="456"/>
      <c r="HD184" s="456"/>
      <c r="HE184" s="456"/>
      <c r="HF184" s="456"/>
      <c r="HG184" s="456"/>
      <c r="HH184" s="456"/>
      <c r="HI184" s="456"/>
      <c r="HJ184" s="456"/>
      <c r="HK184" s="456"/>
      <c r="HL184" s="456"/>
      <c r="HM184" s="456"/>
      <c r="HN184" s="456"/>
      <c r="HO184" s="456"/>
      <c r="HP184" s="456"/>
      <c r="HQ184" s="456"/>
      <c r="HR184" s="456"/>
      <c r="HS184" s="456"/>
      <c r="HT184" s="456"/>
      <c r="HU184" s="456"/>
      <c r="HV184" s="456"/>
      <c r="HW184" s="456"/>
      <c r="HX184" s="456"/>
      <c r="HY184" s="456"/>
      <c r="HZ184" s="456"/>
      <c r="IA184" s="456"/>
      <c r="IB184" s="456"/>
      <c r="IC184" s="456"/>
      <c r="ID184" s="456"/>
      <c r="IE184" s="456"/>
      <c r="IF184" s="456"/>
      <c r="IG184" s="456"/>
      <c r="IH184" s="456"/>
      <c r="II184" s="456"/>
      <c r="IJ184" s="456"/>
      <c r="IK184" s="456"/>
      <c r="IL184" s="456"/>
      <c r="IM184" s="456"/>
      <c r="IN184" s="457"/>
      <c r="IO184" s="457"/>
      <c r="IP184" s="456"/>
      <c r="IQ184" s="456"/>
      <c r="IR184" s="456"/>
      <c r="IS184" s="456"/>
      <c r="IT184" s="456"/>
      <c r="IU184" s="456"/>
      <c r="IV184" s="456"/>
      <c r="IW184" s="456"/>
      <c r="IX184" s="456"/>
      <c r="IY184" s="456"/>
      <c r="IZ184" s="456"/>
      <c r="JA184" s="456"/>
      <c r="JB184" s="456"/>
      <c r="JC184" s="456"/>
      <c r="JD184" s="456"/>
      <c r="JE184" s="456"/>
      <c r="JF184" s="456"/>
      <c r="JG184" s="456"/>
      <c r="JH184" s="456"/>
      <c r="JI184" s="456"/>
      <c r="JJ184" s="456"/>
      <c r="JK184" s="456"/>
      <c r="JL184" s="456"/>
      <c r="JM184" s="456"/>
      <c r="JN184" s="456"/>
      <c r="JO184" s="456"/>
      <c r="JP184" s="456"/>
      <c r="JQ184" s="456"/>
      <c r="JR184" s="456"/>
      <c r="JS184" s="456"/>
      <c r="JT184" s="456"/>
      <c r="JU184" s="456"/>
      <c r="JV184" s="456"/>
      <c r="JW184" s="456"/>
      <c r="JX184" s="456"/>
      <c r="JY184" s="456"/>
      <c r="JZ184" s="456"/>
      <c r="KA184" s="456"/>
      <c r="KB184" s="456"/>
      <c r="KC184" s="456"/>
      <c r="KD184" s="456"/>
      <c r="KE184" s="456"/>
      <c r="KF184" s="456"/>
    </row>
    <row r="185" spans="1:292" ht="70" hidden="1" customHeight="1">
      <c r="A185" s="371" t="s">
        <v>463</v>
      </c>
      <c r="B185" s="282">
        <v>741</v>
      </c>
      <c r="C185" s="282" t="s">
        <v>71</v>
      </c>
      <c r="D185" s="282">
        <v>648</v>
      </c>
      <c r="E185" s="282">
        <v>0</v>
      </c>
      <c r="F185" s="376">
        <v>45982</v>
      </c>
      <c r="G185" s="649" t="s">
        <v>442</v>
      </c>
      <c r="H185" s="649"/>
      <c r="I185" s="595" t="s">
        <v>725</v>
      </c>
      <c r="J185" s="463" t="s">
        <v>746</v>
      </c>
      <c r="K185" s="236"/>
      <c r="L185" s="529" t="s">
        <v>73</v>
      </c>
      <c r="M185" s="33">
        <v>45950</v>
      </c>
      <c r="N185" s="42">
        <v>46284</v>
      </c>
      <c r="O185" s="33"/>
      <c r="P185" s="526">
        <v>45567</v>
      </c>
      <c r="Q185" s="637">
        <f>P185+85</f>
        <v>45652</v>
      </c>
      <c r="R185" s="526">
        <f t="shared" si="47"/>
        <v>45927</v>
      </c>
      <c r="S185" s="526">
        <v>45899</v>
      </c>
      <c r="T185" s="585">
        <v>46102</v>
      </c>
      <c r="U185" s="372"/>
      <c r="V185" s="267" t="s">
        <v>306</v>
      </c>
      <c r="W185" s="211" t="s">
        <v>464</v>
      </c>
      <c r="X185" s="505"/>
      <c r="Y185" s="505"/>
      <c r="Z185" s="14" t="s">
        <v>465</v>
      </c>
      <c r="AA185" s="14"/>
      <c r="AB185" s="655"/>
      <c r="AC185" s="655"/>
      <c r="AD185" s="14"/>
      <c r="AE185" s="14"/>
      <c r="AF185" s="12" t="s">
        <v>466</v>
      </c>
      <c r="AG185" s="653"/>
      <c r="AH185" s="653"/>
      <c r="AI185" s="653"/>
      <c r="AJ185" s="457"/>
      <c r="AK185" s="457"/>
      <c r="AL185" s="653"/>
      <c r="AM185" s="653"/>
      <c r="AN185" s="653"/>
      <c r="AO185" s="653"/>
      <c r="AP185" s="653"/>
      <c r="AQ185" s="653"/>
      <c r="AR185" s="653"/>
      <c r="AS185" s="653"/>
      <c r="AT185" s="653"/>
      <c r="AU185" s="653"/>
      <c r="AV185" s="653"/>
      <c r="AW185" s="653"/>
      <c r="AX185" s="653"/>
      <c r="AY185" s="653"/>
      <c r="AZ185" s="653"/>
      <c r="BA185" s="653"/>
      <c r="BB185" s="651" t="s">
        <v>77</v>
      </c>
      <c r="BC185" s="375" t="s">
        <v>19</v>
      </c>
      <c r="BD185" s="651"/>
      <c r="BE185" s="651"/>
      <c r="BF185" s="651"/>
      <c r="BG185" s="651"/>
      <c r="BH185" s="534" t="s">
        <v>31</v>
      </c>
      <c r="BI185" s="651"/>
      <c r="BJ185" s="651"/>
      <c r="BK185" s="651"/>
      <c r="BL185" s="651"/>
      <c r="BM185" s="651"/>
      <c r="BN185" s="651"/>
      <c r="BO185" s="651"/>
      <c r="BP185" s="651"/>
      <c r="BQ185" s="651"/>
      <c r="BR185" s="651"/>
      <c r="BS185" s="651"/>
      <c r="BT185" s="651"/>
      <c r="BU185" s="651"/>
      <c r="BV185" s="639" t="s">
        <v>66</v>
      </c>
      <c r="BW185" s="639"/>
      <c r="BX185" s="639"/>
      <c r="BY185" s="639"/>
      <c r="BZ185" s="639"/>
      <c r="CA185" s="639"/>
      <c r="CB185" s="639"/>
      <c r="CC185" s="639"/>
      <c r="CD185" s="639"/>
      <c r="CE185" s="639"/>
      <c r="CF185" s="639"/>
      <c r="CG185" s="639"/>
      <c r="CH185" s="639"/>
      <c r="CI185" s="639"/>
      <c r="CJ185" s="639"/>
      <c r="CK185" s="639"/>
      <c r="CL185" s="639"/>
      <c r="CM185" s="457"/>
      <c r="CN185" s="457"/>
      <c r="CO185" s="639"/>
      <c r="CP185" s="639"/>
      <c r="CQ185" s="639"/>
      <c r="CR185" s="4" t="s">
        <v>446</v>
      </c>
      <c r="CS185" s="638"/>
      <c r="CT185" s="395" t="s">
        <v>467</v>
      </c>
      <c r="CU185" s="396"/>
      <c r="CV185" s="516" t="s">
        <v>130</v>
      </c>
      <c r="CW185" s="456"/>
      <c r="CX185" s="457"/>
      <c r="CY185" s="456"/>
      <c r="CZ185" s="456"/>
      <c r="DA185" s="456"/>
      <c r="DB185" s="456"/>
      <c r="DC185" s="456"/>
      <c r="DD185" s="456"/>
      <c r="DE185" s="456"/>
      <c r="DF185" s="456"/>
      <c r="DG185" s="456"/>
      <c r="DH185" s="456"/>
      <c r="DI185" s="456"/>
      <c r="DJ185" s="456"/>
      <c r="DK185" s="456"/>
      <c r="DL185" s="456"/>
      <c r="DM185" s="456"/>
      <c r="DN185" s="456"/>
      <c r="DO185" s="456"/>
      <c r="DP185" s="456"/>
      <c r="DQ185" s="456"/>
      <c r="DR185" s="456"/>
      <c r="DS185" s="456"/>
      <c r="DT185" s="456"/>
      <c r="DU185" s="456"/>
      <c r="DV185" s="456"/>
      <c r="DW185" s="456"/>
      <c r="DX185" s="456"/>
      <c r="DY185" s="456"/>
      <c r="DZ185" s="456"/>
      <c r="EA185" s="456"/>
      <c r="EB185" s="456"/>
      <c r="EC185" s="456"/>
      <c r="ED185" s="456"/>
      <c r="EE185" s="456"/>
      <c r="EF185" s="456"/>
      <c r="EG185" s="456"/>
      <c r="EH185" s="456"/>
      <c r="EI185" s="456"/>
      <c r="EJ185" s="456"/>
      <c r="EK185" s="456"/>
      <c r="EL185" s="457"/>
      <c r="EM185" s="457"/>
      <c r="EN185" s="456"/>
      <c r="EO185" s="456"/>
      <c r="EP185" s="456"/>
      <c r="EQ185" s="456"/>
      <c r="ER185" s="456"/>
      <c r="ES185" s="456"/>
      <c r="ET185" s="456"/>
      <c r="EU185" s="456"/>
      <c r="EV185" s="456"/>
      <c r="EW185" s="456"/>
      <c r="EX185" s="456"/>
      <c r="EY185" s="456"/>
      <c r="EZ185" s="456"/>
      <c r="FA185" s="456"/>
      <c r="FB185" s="456"/>
      <c r="FC185" s="456"/>
      <c r="FD185" s="456"/>
      <c r="FE185" s="456"/>
      <c r="FF185" s="456"/>
      <c r="FG185" s="456"/>
      <c r="FH185" s="456"/>
      <c r="FI185" s="456"/>
      <c r="FJ185" s="456"/>
      <c r="FK185" s="456"/>
      <c r="FL185" s="456"/>
      <c r="FM185" s="456"/>
      <c r="FN185" s="456"/>
      <c r="FO185" s="456"/>
      <c r="FP185" s="456"/>
      <c r="FQ185" s="456"/>
      <c r="FR185" s="456"/>
      <c r="FS185" s="456"/>
      <c r="FT185" s="456"/>
      <c r="FU185" s="456"/>
      <c r="FV185" s="456"/>
      <c r="FW185" s="456"/>
      <c r="FX185" s="456"/>
      <c r="FY185" s="456"/>
      <c r="FZ185" s="456"/>
      <c r="GA185" s="456"/>
      <c r="GB185" s="456"/>
      <c r="GC185" s="456"/>
      <c r="GD185" s="456"/>
      <c r="GE185" s="456"/>
      <c r="GF185" s="456"/>
      <c r="GG185" s="456"/>
      <c r="GH185" s="456"/>
      <c r="GI185" s="456"/>
      <c r="GJ185" s="457"/>
      <c r="GK185" s="457"/>
      <c r="GL185" s="456"/>
      <c r="GM185" s="456"/>
      <c r="GN185" s="456"/>
      <c r="GO185" s="456"/>
      <c r="GP185" s="456"/>
      <c r="GQ185" s="456"/>
      <c r="GR185" s="456"/>
      <c r="GS185" s="456"/>
      <c r="GT185" s="456"/>
      <c r="GU185" s="456"/>
      <c r="GV185" s="456"/>
      <c r="GW185" s="456"/>
      <c r="GX185" s="456"/>
      <c r="GY185" s="456"/>
      <c r="GZ185" s="456"/>
      <c r="HA185" s="456"/>
      <c r="HB185" s="456"/>
      <c r="HC185" s="456"/>
      <c r="HD185" s="456"/>
      <c r="HE185" s="456"/>
      <c r="HF185" s="456"/>
      <c r="HG185" s="456"/>
      <c r="HH185" s="456"/>
      <c r="HI185" s="456"/>
      <c r="HJ185" s="456"/>
      <c r="HK185" s="456"/>
      <c r="HL185" s="456"/>
      <c r="HM185" s="456"/>
      <c r="HN185" s="456"/>
      <c r="HO185" s="456"/>
      <c r="HP185" s="456"/>
      <c r="HQ185" s="456"/>
      <c r="HR185" s="456"/>
      <c r="HS185" s="456"/>
      <c r="HT185" s="456"/>
      <c r="HU185" s="456"/>
      <c r="HV185" s="456"/>
      <c r="HW185" s="456"/>
      <c r="HX185" s="456"/>
      <c r="HY185" s="456"/>
      <c r="HZ185" s="456"/>
      <c r="IA185" s="456"/>
      <c r="IB185" s="456"/>
      <c r="IC185" s="456"/>
      <c r="ID185" s="456"/>
      <c r="IE185" s="456"/>
      <c r="IF185" s="456"/>
      <c r="IG185" s="456"/>
      <c r="IH185" s="456"/>
      <c r="II185" s="456"/>
      <c r="IJ185" s="456"/>
      <c r="IK185" s="456"/>
      <c r="IL185" s="456"/>
      <c r="IM185" s="456"/>
      <c r="IN185" s="457"/>
      <c r="IO185" s="457"/>
      <c r="IP185" s="456"/>
      <c r="IQ185" s="456"/>
      <c r="IR185" s="456"/>
      <c r="IS185" s="456"/>
      <c r="IT185" s="456"/>
      <c r="IU185" s="456"/>
      <c r="IV185" s="456"/>
      <c r="IW185" s="456"/>
      <c r="IX185" s="456"/>
      <c r="IY185" s="456"/>
      <c r="IZ185" s="456"/>
      <c r="JA185" s="456"/>
      <c r="JB185" s="456"/>
      <c r="JC185" s="456"/>
      <c r="JD185" s="456"/>
      <c r="JE185" s="456"/>
      <c r="JF185" s="456"/>
      <c r="JG185" s="456"/>
      <c r="JH185" s="456"/>
      <c r="JI185" s="456"/>
      <c r="JJ185" s="456"/>
      <c r="JK185" s="456"/>
      <c r="JL185" s="456"/>
      <c r="JM185" s="456"/>
      <c r="JN185" s="456"/>
      <c r="JO185" s="456"/>
      <c r="JP185" s="456"/>
      <c r="JQ185" s="456"/>
      <c r="JR185" s="456"/>
      <c r="JS185" s="456"/>
      <c r="JT185" s="456"/>
      <c r="JU185" s="456"/>
      <c r="JV185" s="456"/>
      <c r="JW185" s="456"/>
      <c r="JX185" s="456"/>
      <c r="JY185" s="456"/>
      <c r="JZ185" s="456"/>
      <c r="KA185" s="456"/>
      <c r="KB185" s="456"/>
      <c r="KC185" s="456"/>
      <c r="KD185" s="456"/>
      <c r="KE185" s="456"/>
      <c r="KF185" s="456"/>
    </row>
    <row r="186" spans="1:292" ht="70" customHeight="1">
      <c r="A186" s="371" t="s">
        <v>468</v>
      </c>
      <c r="B186" s="282">
        <v>742</v>
      </c>
      <c r="C186" s="282" t="s">
        <v>71</v>
      </c>
      <c r="D186" s="282">
        <v>232</v>
      </c>
      <c r="E186" s="282">
        <v>0</v>
      </c>
      <c r="F186" s="335" t="s">
        <v>704</v>
      </c>
      <c r="G186" s="577" t="s">
        <v>442</v>
      </c>
      <c r="H186" s="577"/>
      <c r="I186" s="104" t="s">
        <v>54</v>
      </c>
      <c r="J186" s="156" t="s">
        <v>115</v>
      </c>
      <c r="K186" s="236"/>
      <c r="L186" s="529"/>
      <c r="M186" s="33"/>
      <c r="N186" s="42"/>
      <c r="O186" s="33"/>
      <c r="P186" s="526">
        <v>45752</v>
      </c>
      <c r="Q186" s="637">
        <v>46032</v>
      </c>
      <c r="R186" s="526">
        <v>46284</v>
      </c>
      <c r="S186" s="526"/>
      <c r="T186" s="585">
        <v>46383</v>
      </c>
      <c r="U186" s="372" t="s">
        <v>400</v>
      </c>
      <c r="V186" s="276" t="s">
        <v>506</v>
      </c>
      <c r="W186" s="211" t="s">
        <v>469</v>
      </c>
      <c r="X186" s="456"/>
      <c r="Y186" s="456"/>
      <c r="Z186" s="465"/>
      <c r="AA186" s="465"/>
      <c r="AB186" s="465"/>
      <c r="AC186" s="11"/>
      <c r="AD186" s="465"/>
      <c r="AE186" s="465"/>
      <c r="AF186" s="456"/>
      <c r="AG186" s="456"/>
      <c r="AH186" s="456"/>
      <c r="AI186" s="456"/>
      <c r="AJ186" s="457"/>
      <c r="AK186" s="457"/>
      <c r="AL186" s="456"/>
      <c r="AM186" s="456"/>
      <c r="AN186" s="456"/>
      <c r="AO186" s="456"/>
      <c r="AP186" s="456"/>
      <c r="AQ186" s="456"/>
      <c r="AR186" s="456"/>
      <c r="AS186" s="456"/>
      <c r="AT186" s="13" t="s">
        <v>470</v>
      </c>
      <c r="AU186" s="505"/>
      <c r="AV186" s="505"/>
      <c r="AW186" s="505"/>
      <c r="AX186" s="397" t="s">
        <v>471</v>
      </c>
      <c r="AY186" s="397"/>
      <c r="AZ186" s="397"/>
      <c r="BA186" s="397"/>
      <c r="BB186" s="397"/>
      <c r="BC186" s="397"/>
      <c r="BD186" s="397"/>
      <c r="BE186" s="397"/>
      <c r="BF186" s="397"/>
      <c r="BG186" s="397"/>
      <c r="BH186" s="397"/>
      <c r="BI186" s="397"/>
      <c r="BJ186" s="397"/>
      <c r="BK186" s="397"/>
      <c r="BL186" s="397"/>
      <c r="BM186" s="397"/>
      <c r="BN186" s="397"/>
      <c r="BO186" s="397"/>
      <c r="BP186" s="397"/>
      <c r="BQ186" s="397"/>
      <c r="BR186" s="397"/>
      <c r="BS186" s="397"/>
      <c r="BT186" s="397"/>
      <c r="BU186" s="397"/>
      <c r="BV186" s="397"/>
      <c r="BW186" s="397"/>
      <c r="BX186" s="397"/>
      <c r="BY186" s="397"/>
      <c r="BZ186" s="397"/>
      <c r="CA186" s="397"/>
      <c r="CB186" s="85" t="s">
        <v>472</v>
      </c>
      <c r="CC186" s="85" t="s">
        <v>472</v>
      </c>
      <c r="CD186" s="85" t="s">
        <v>472</v>
      </c>
      <c r="CE186" s="85" t="s">
        <v>473</v>
      </c>
      <c r="CF186" s="85" t="s">
        <v>473</v>
      </c>
      <c r="CG186" s="85" t="s">
        <v>473</v>
      </c>
      <c r="CH186" s="14" t="s">
        <v>465</v>
      </c>
      <c r="CI186" s="14"/>
      <c r="CJ186" s="655"/>
      <c r="CK186" s="655"/>
      <c r="CL186" s="14"/>
      <c r="CM186" s="457"/>
      <c r="CN186" s="457"/>
      <c r="CO186" s="14"/>
      <c r="CP186" s="14"/>
      <c r="CQ186" s="14"/>
      <c r="CR186" s="14"/>
      <c r="CS186" s="14"/>
      <c r="CT186" s="12" t="s">
        <v>474</v>
      </c>
      <c r="CU186" s="653"/>
      <c r="CV186" s="653"/>
      <c r="CW186" s="653"/>
      <c r="CX186" s="457"/>
      <c r="CY186" s="653"/>
      <c r="CZ186" s="653"/>
      <c r="DA186" s="653"/>
      <c r="DB186" s="653"/>
      <c r="DC186" s="653"/>
      <c r="DD186" s="653"/>
      <c r="DE186" s="653"/>
      <c r="DF186" s="653"/>
      <c r="DG186" s="651" t="s">
        <v>77</v>
      </c>
      <c r="DH186" s="375" t="s">
        <v>19</v>
      </c>
      <c r="DI186" s="651"/>
      <c r="DJ186" s="651"/>
      <c r="DK186" s="651"/>
      <c r="DL186" s="651"/>
      <c r="DM186" s="534" t="s">
        <v>31</v>
      </c>
      <c r="DN186" s="651"/>
      <c r="DO186" s="651"/>
      <c r="DP186" s="651"/>
      <c r="DQ186" s="651"/>
      <c r="DR186" s="651"/>
      <c r="DS186" s="639" t="s">
        <v>66</v>
      </c>
      <c r="DT186" s="639"/>
      <c r="DU186" s="639"/>
      <c r="DV186" s="639"/>
      <c r="DW186" s="639"/>
      <c r="DX186" s="639"/>
      <c r="DY186" s="639"/>
      <c r="DZ186" s="639"/>
      <c r="EA186" s="639"/>
      <c r="EB186" s="639"/>
      <c r="EC186" s="639"/>
      <c r="ED186" s="639"/>
      <c r="EE186" s="4" t="s">
        <v>446</v>
      </c>
      <c r="EF186" s="638"/>
      <c r="EG186" s="456"/>
      <c r="EH186" s="456"/>
      <c r="EI186" s="456"/>
      <c r="EJ186" s="456"/>
      <c r="EK186" s="456"/>
      <c r="EL186" s="457"/>
      <c r="EM186" s="457"/>
      <c r="EN186" s="456"/>
      <c r="EO186" s="456"/>
      <c r="EP186" s="456"/>
      <c r="EQ186" s="456"/>
      <c r="ER186" s="456"/>
      <c r="ES186" s="456"/>
      <c r="ET186" s="456"/>
      <c r="EU186" s="456"/>
      <c r="EV186" s="456"/>
      <c r="EW186" s="456"/>
      <c r="EX186" s="456"/>
      <c r="EY186" s="456"/>
      <c r="EZ186" s="456"/>
      <c r="FA186" s="456"/>
      <c r="FB186" s="456"/>
      <c r="FC186" s="456"/>
      <c r="FD186" s="456"/>
      <c r="FE186" s="456"/>
      <c r="FF186" s="456"/>
      <c r="FG186" s="456"/>
      <c r="FH186" s="456"/>
      <c r="FI186" s="456"/>
      <c r="FJ186" s="456"/>
      <c r="FK186" s="456"/>
      <c r="FL186" s="456"/>
      <c r="FM186" s="456"/>
      <c r="FN186" s="456"/>
      <c r="FO186" s="456"/>
      <c r="FP186" s="456"/>
      <c r="FQ186" s="456"/>
      <c r="FR186" s="456"/>
      <c r="FS186" s="456"/>
      <c r="FT186" s="456"/>
      <c r="FU186" s="456"/>
      <c r="FV186" s="456"/>
      <c r="FW186" s="456"/>
      <c r="FX186" s="456"/>
      <c r="FY186" s="456"/>
      <c r="FZ186" s="456"/>
      <c r="GA186" s="456"/>
      <c r="GB186" s="456"/>
      <c r="GC186" s="456"/>
      <c r="GD186" s="456"/>
      <c r="GE186" s="456"/>
      <c r="GF186" s="456"/>
      <c r="GG186" s="456"/>
      <c r="GH186" s="456"/>
      <c r="GI186" s="456"/>
      <c r="GJ186" s="457"/>
      <c r="GK186" s="457"/>
      <c r="GL186" s="456"/>
      <c r="GM186" s="456"/>
      <c r="GN186" s="456"/>
      <c r="GO186" s="456"/>
      <c r="GP186" s="456"/>
      <c r="GQ186" s="456"/>
      <c r="GR186" s="456"/>
      <c r="GS186" s="456"/>
      <c r="GT186" s="456"/>
      <c r="GU186" s="456"/>
      <c r="GV186" s="456"/>
      <c r="GW186" s="456"/>
      <c r="GX186" s="456"/>
      <c r="GY186" s="456"/>
      <c r="GZ186" s="456"/>
      <c r="HA186" s="456"/>
      <c r="HB186" s="456"/>
      <c r="HC186" s="456"/>
      <c r="HD186" s="456"/>
      <c r="HE186" s="456"/>
      <c r="HF186" s="456"/>
      <c r="HG186" s="456"/>
      <c r="HH186" s="456"/>
      <c r="HI186" s="456"/>
      <c r="HJ186" s="456"/>
      <c r="HK186" s="456"/>
      <c r="HL186" s="456"/>
      <c r="HM186" s="456"/>
      <c r="HN186" s="456"/>
      <c r="HO186" s="456"/>
      <c r="HP186" s="456"/>
      <c r="HQ186" s="456"/>
      <c r="HR186" s="456"/>
      <c r="HS186" s="456"/>
      <c r="HT186" s="456"/>
      <c r="HU186" s="456"/>
      <c r="HV186" s="456"/>
      <c r="HW186" s="456"/>
      <c r="HX186" s="456"/>
      <c r="HY186" s="456"/>
      <c r="HZ186" s="456"/>
      <c r="IA186" s="456"/>
      <c r="IB186" s="456"/>
      <c r="IC186" s="456"/>
      <c r="ID186" s="456"/>
      <c r="IE186" s="456"/>
      <c r="IF186" s="456"/>
      <c r="IG186" s="456"/>
      <c r="IH186" s="456"/>
      <c r="II186" s="456"/>
      <c r="IJ186" s="456"/>
      <c r="IK186" s="456"/>
      <c r="IL186" s="456"/>
      <c r="IM186" s="456"/>
      <c r="IN186" s="457"/>
      <c r="IO186" s="457"/>
      <c r="IP186" s="456"/>
      <c r="IQ186" s="456"/>
      <c r="IR186" s="456"/>
      <c r="IS186" s="456"/>
      <c r="IT186" s="456"/>
      <c r="IU186" s="456"/>
      <c r="IV186" s="456"/>
      <c r="IW186" s="456"/>
      <c r="IX186" s="456"/>
      <c r="IY186" s="456"/>
      <c r="IZ186" s="456"/>
      <c r="JA186" s="456"/>
      <c r="JB186" s="456"/>
      <c r="JC186" s="456"/>
      <c r="JD186" s="456"/>
      <c r="JE186" s="456"/>
      <c r="JF186" s="456"/>
      <c r="JG186" s="456"/>
      <c r="JH186" s="456"/>
      <c r="JI186" s="456"/>
      <c r="JJ186" s="456"/>
      <c r="JK186" s="456"/>
      <c r="JL186" s="456"/>
      <c r="JM186" s="456"/>
      <c r="JN186" s="456"/>
      <c r="JO186" s="456"/>
      <c r="JP186" s="456"/>
      <c r="JQ186" s="456"/>
      <c r="JR186" s="456"/>
      <c r="JS186" s="456"/>
      <c r="JT186" s="456"/>
      <c r="JU186" s="456"/>
      <c r="JV186" s="456"/>
      <c r="JW186" s="456"/>
      <c r="JX186" s="456"/>
      <c r="JY186" s="456"/>
      <c r="JZ186" s="456"/>
      <c r="KA186" s="456"/>
      <c r="KB186" s="456"/>
      <c r="KC186" s="456"/>
      <c r="KD186" s="456"/>
      <c r="KE186" s="456"/>
      <c r="KF186" s="456"/>
    </row>
    <row r="187" spans="1:292" ht="70" customHeight="1">
      <c r="A187" s="225" t="s">
        <v>475</v>
      </c>
      <c r="B187" s="224"/>
      <c r="C187" s="224"/>
      <c r="D187" s="224"/>
      <c r="E187" s="224"/>
      <c r="F187" s="224"/>
      <c r="G187" s="224"/>
      <c r="H187" s="224"/>
      <c r="I187" s="224"/>
      <c r="J187" s="228"/>
      <c r="K187" s="250"/>
      <c r="L187" s="224"/>
      <c r="M187" s="224"/>
      <c r="N187" s="229"/>
      <c r="O187" s="224"/>
      <c r="P187" s="224"/>
      <c r="Q187" s="224"/>
      <c r="R187" s="224"/>
      <c r="S187" s="224"/>
      <c r="T187" s="224"/>
      <c r="U187" s="224"/>
      <c r="V187" s="230"/>
      <c r="W187" s="224"/>
      <c r="X187" s="230"/>
      <c r="Y187" s="230"/>
      <c r="Z187" s="230"/>
      <c r="AA187" s="230"/>
      <c r="AB187" s="230"/>
      <c r="AC187" s="230"/>
      <c r="AD187" s="230"/>
      <c r="AE187" s="230"/>
      <c r="AF187" s="230"/>
      <c r="AG187" s="230"/>
      <c r="AH187" s="230"/>
      <c r="AI187" s="230"/>
      <c r="AJ187" s="230"/>
      <c r="AK187" s="230"/>
      <c r="AL187" s="230"/>
      <c r="AM187" s="230"/>
      <c r="AN187" s="230"/>
      <c r="AO187" s="230"/>
      <c r="AP187" s="230"/>
      <c r="AQ187" s="230"/>
      <c r="AR187" s="230"/>
      <c r="AS187" s="230"/>
      <c r="AT187" s="230"/>
      <c r="AU187" s="230"/>
      <c r="AV187" s="230"/>
      <c r="AW187" s="230"/>
      <c r="AX187" s="525"/>
      <c r="AY187" s="525"/>
      <c r="AZ187" s="525"/>
      <c r="BA187" s="525"/>
      <c r="BB187" s="525"/>
      <c r="BC187" s="525"/>
      <c r="BD187" s="525"/>
      <c r="BE187" s="525"/>
      <c r="BF187" s="525"/>
      <c r="BG187" s="525"/>
      <c r="BH187" s="525"/>
      <c r="BI187" s="525"/>
      <c r="BJ187" s="525"/>
      <c r="BK187" s="525"/>
      <c r="BL187" s="525"/>
      <c r="BM187" s="525"/>
      <c r="BN187" s="525"/>
      <c r="BO187" s="525"/>
      <c r="BP187" s="525"/>
      <c r="BQ187" s="525"/>
      <c r="BR187" s="525"/>
      <c r="BS187" s="525"/>
      <c r="BT187" s="525"/>
      <c r="BU187" s="525"/>
      <c r="BV187" s="525"/>
      <c r="BW187" s="525"/>
      <c r="BX187" s="525"/>
      <c r="BY187" s="525"/>
      <c r="BZ187" s="525"/>
      <c r="CA187" s="525"/>
      <c r="CB187" s="525"/>
      <c r="CC187" s="525"/>
      <c r="CD187" s="525"/>
      <c r="CE187" s="525"/>
      <c r="CF187" s="525"/>
      <c r="CG187" s="525"/>
      <c r="CH187" s="525"/>
      <c r="CI187" s="525"/>
      <c r="CJ187" s="525"/>
      <c r="CK187" s="525"/>
      <c r="CL187" s="525"/>
      <c r="CM187" s="525"/>
      <c r="CN187" s="525"/>
      <c r="CO187" s="525"/>
      <c r="CP187" s="525"/>
      <c r="CQ187" s="525"/>
      <c r="CR187" s="525"/>
      <c r="CS187" s="525"/>
      <c r="CT187" s="525"/>
      <c r="CU187" s="525"/>
      <c r="CV187" s="525"/>
      <c r="CW187" s="525"/>
      <c r="CX187" s="525"/>
      <c r="CY187" s="525"/>
      <c r="CZ187" s="525"/>
      <c r="DA187" s="525"/>
      <c r="DB187" s="525"/>
      <c r="DC187" s="525"/>
      <c r="DD187" s="525"/>
      <c r="DE187" s="525"/>
      <c r="DF187" s="525"/>
      <c r="DG187" s="525"/>
      <c r="DH187" s="525"/>
      <c r="DI187" s="525"/>
      <c r="DJ187" s="525"/>
      <c r="DK187" s="525"/>
      <c r="DL187" s="525"/>
      <c r="DM187" s="525"/>
      <c r="DN187" s="525"/>
      <c r="DO187" s="525"/>
      <c r="DP187" s="525"/>
      <c r="DQ187" s="525"/>
      <c r="DR187" s="525"/>
      <c r="DS187" s="525"/>
      <c r="DT187" s="525"/>
      <c r="DU187" s="525"/>
      <c r="DV187" s="525"/>
      <c r="DW187" s="525"/>
      <c r="DX187" s="525"/>
      <c r="DY187" s="525"/>
      <c r="DZ187" s="525"/>
      <c r="EA187" s="525"/>
      <c r="EB187" s="525"/>
      <c r="EC187" s="525"/>
      <c r="ED187" s="525"/>
      <c r="EE187" s="525"/>
      <c r="EF187" s="525"/>
      <c r="EG187" s="525"/>
      <c r="EH187" s="525"/>
      <c r="EI187" s="525"/>
      <c r="EJ187" s="525"/>
      <c r="EK187" s="525"/>
      <c r="EL187" s="525"/>
      <c r="EM187" s="525"/>
      <c r="EN187" s="525"/>
      <c r="EO187" s="525"/>
      <c r="EP187" s="525"/>
      <c r="EQ187" s="525"/>
      <c r="ER187" s="525"/>
      <c r="ES187" s="525"/>
      <c r="ET187" s="525"/>
      <c r="EU187" s="525"/>
      <c r="EV187" s="525"/>
      <c r="EW187" s="525"/>
      <c r="EX187" s="525"/>
      <c r="EY187" s="525"/>
      <c r="EZ187" s="525"/>
      <c r="FA187" s="525"/>
      <c r="FB187" s="525"/>
      <c r="FC187" s="525"/>
      <c r="FD187" s="525"/>
      <c r="FE187" s="525"/>
      <c r="FF187" s="525"/>
      <c r="FG187" s="525"/>
      <c r="FH187" s="525"/>
      <c r="FI187" s="525"/>
      <c r="FJ187" s="525"/>
      <c r="FK187" s="525"/>
      <c r="FL187" s="525"/>
      <c r="FM187" s="525"/>
      <c r="FN187" s="525"/>
      <c r="FO187" s="525"/>
      <c r="FP187" s="525"/>
      <c r="FQ187" s="525"/>
      <c r="FR187" s="525"/>
      <c r="FS187" s="525"/>
      <c r="FT187" s="525"/>
      <c r="FU187" s="525"/>
      <c r="FV187" s="525"/>
      <c r="FW187" s="525"/>
      <c r="FX187" s="525"/>
      <c r="FY187" s="525"/>
      <c r="FZ187" s="525"/>
      <c r="GA187" s="525"/>
      <c r="GB187" s="525"/>
      <c r="GC187" s="525"/>
      <c r="GD187" s="525"/>
      <c r="GE187" s="525"/>
      <c r="GF187" s="525"/>
      <c r="GG187" s="525"/>
      <c r="GH187" s="525"/>
      <c r="GI187" s="525"/>
      <c r="GJ187" s="525"/>
      <c r="GK187" s="525"/>
      <c r="GL187" s="525"/>
      <c r="GM187" s="525"/>
      <c r="GN187" s="525"/>
      <c r="GO187" s="525"/>
      <c r="GP187" s="525"/>
      <c r="GQ187" s="525"/>
      <c r="GR187" s="525"/>
      <c r="GS187" s="525"/>
      <c r="GT187" s="525"/>
      <c r="GU187" s="525"/>
      <c r="GV187" s="525"/>
      <c r="GW187" s="525"/>
      <c r="GX187" s="525"/>
      <c r="GY187" s="525"/>
      <c r="GZ187" s="525"/>
      <c r="HA187" s="525"/>
      <c r="HB187" s="525"/>
      <c r="HC187" s="525"/>
      <c r="HD187" s="525"/>
      <c r="HE187" s="525"/>
      <c r="HF187" s="525"/>
      <c r="HG187" s="525"/>
    </row>
    <row r="188" spans="1:292" ht="70" customHeight="1">
      <c r="A188" s="371">
        <v>760176</v>
      </c>
      <c r="B188" s="282"/>
      <c r="C188" s="282"/>
      <c r="D188" s="282"/>
      <c r="E188" s="282"/>
      <c r="F188" s="335" t="s">
        <v>704</v>
      </c>
      <c r="G188" s="577" t="s">
        <v>477</v>
      </c>
      <c r="H188" s="577"/>
      <c r="I188" s="104" t="s">
        <v>54</v>
      </c>
      <c r="J188" s="156" t="s">
        <v>115</v>
      </c>
      <c r="K188" s="236"/>
      <c r="L188" s="529"/>
      <c r="M188" s="33"/>
      <c r="N188" s="42"/>
      <c r="O188" s="33"/>
      <c r="P188" s="526"/>
      <c r="Q188" s="637"/>
      <c r="R188" s="526"/>
      <c r="S188" s="526"/>
      <c r="T188" s="585"/>
      <c r="U188" s="372"/>
      <c r="V188" s="277" t="s">
        <v>496</v>
      </c>
      <c r="W188" s="211"/>
      <c r="X188" s="456"/>
      <c r="Y188" s="456"/>
      <c r="Z188" s="465"/>
      <c r="AA188" s="465"/>
      <c r="AB188" s="465"/>
      <c r="AC188" s="11"/>
      <c r="AD188" s="465"/>
      <c r="AE188" s="456"/>
      <c r="AF188" s="10"/>
      <c r="AG188" s="456"/>
      <c r="AH188" s="456"/>
      <c r="AI188" s="456"/>
      <c r="AJ188" s="457"/>
      <c r="AK188" s="457"/>
      <c r="AL188" s="456"/>
      <c r="AM188" s="456"/>
      <c r="AN188" s="456"/>
      <c r="AO188" s="456"/>
      <c r="AP188" s="86"/>
      <c r="AQ188" s="86"/>
      <c r="AR188" s="656"/>
      <c r="AS188" s="656"/>
      <c r="AT188" s="86"/>
      <c r="AU188" s="86"/>
      <c r="AV188" s="86"/>
      <c r="AW188" s="86"/>
      <c r="AX188" s="11"/>
      <c r="AY188" s="465"/>
      <c r="AZ188" s="465"/>
      <c r="BA188" s="465"/>
      <c r="BB188" s="465"/>
      <c r="BC188" s="465"/>
      <c r="BD188" s="465"/>
      <c r="BE188" s="465"/>
      <c r="BF188" s="465"/>
      <c r="BG188" s="465"/>
      <c r="BH188" s="465"/>
      <c r="BI188" s="465"/>
      <c r="BJ188" s="465"/>
      <c r="BK188" s="465"/>
      <c r="BL188" s="465"/>
      <c r="BM188" s="465"/>
      <c r="BN188" s="465"/>
      <c r="BO188" s="377"/>
      <c r="BP188" s="465"/>
      <c r="BQ188" s="465"/>
      <c r="BR188" s="465"/>
      <c r="BS188" s="465"/>
      <c r="BT188" s="465"/>
      <c r="BU188" s="465"/>
      <c r="BV188" s="465"/>
      <c r="BW188" s="465"/>
      <c r="BX188" s="465"/>
      <c r="BY188" s="465"/>
      <c r="BZ188" s="465"/>
      <c r="CA188" s="465"/>
      <c r="CB188" s="465"/>
      <c r="CC188" s="465"/>
      <c r="CD188" s="465"/>
      <c r="CE188" s="465"/>
      <c r="CF188" s="465"/>
      <c r="CG188" s="465"/>
      <c r="CH188" s="465"/>
      <c r="CI188" s="465"/>
      <c r="CJ188" s="465"/>
      <c r="CK188" s="465"/>
      <c r="CL188" s="465"/>
      <c r="CM188" s="457"/>
      <c r="CN188" s="457"/>
      <c r="CO188" s="465"/>
      <c r="CP188" s="465"/>
      <c r="CQ188" s="465"/>
      <c r="CR188" s="465"/>
      <c r="CS188" s="465"/>
      <c r="CT188" s="465"/>
      <c r="CU188" s="465"/>
      <c r="CV188" s="465"/>
      <c r="CW188" s="2"/>
      <c r="CX188" s="457"/>
      <c r="CY188" s="465"/>
      <c r="CZ188" s="465"/>
      <c r="DA188" s="465"/>
      <c r="DB188" s="465"/>
      <c r="DC188" s="465"/>
      <c r="DD188" s="456"/>
      <c r="DE188" s="456"/>
      <c r="DF188" s="456"/>
      <c r="DG188" s="456"/>
      <c r="DH188" s="456"/>
      <c r="DI188" s="456"/>
      <c r="DJ188" s="456"/>
      <c r="DK188" s="456"/>
      <c r="DL188" s="456"/>
      <c r="DM188" s="456"/>
      <c r="DN188" s="456"/>
      <c r="DO188" s="456"/>
      <c r="DP188" s="456"/>
      <c r="DQ188" s="456"/>
      <c r="DR188" s="10"/>
      <c r="DS188" s="456"/>
      <c r="DT188" s="456"/>
      <c r="DU188" s="456"/>
      <c r="DV188" s="456"/>
      <c r="DW188" s="456"/>
      <c r="DX188" s="456"/>
      <c r="DY188" s="456"/>
      <c r="DZ188" s="86"/>
      <c r="EA188" s="86"/>
      <c r="EB188" s="656"/>
      <c r="EC188" s="656"/>
      <c r="ED188" s="10"/>
      <c r="EE188" s="456"/>
      <c r="EF188" s="456"/>
      <c r="EG188" s="456"/>
      <c r="EH188" s="456"/>
      <c r="EI188" s="456"/>
      <c r="EJ188" s="456"/>
      <c r="EK188" s="456"/>
      <c r="EL188" s="457"/>
      <c r="EM188" s="457"/>
      <c r="EN188" s="456"/>
      <c r="EO188" s="456"/>
      <c r="EP188" s="456"/>
      <c r="EQ188" s="456"/>
      <c r="ER188" s="456"/>
      <c r="ES188" s="456"/>
      <c r="ET188" s="456"/>
      <c r="EU188" s="456"/>
      <c r="EV188" s="456"/>
      <c r="EW188" s="456"/>
      <c r="EX188" s="456"/>
      <c r="EY188" s="456"/>
      <c r="EZ188" s="456"/>
      <c r="FA188" s="378"/>
      <c r="FB188" s="456"/>
      <c r="FC188" s="456"/>
      <c r="FD188" s="456"/>
      <c r="FE188" s="456"/>
      <c r="FF188" s="456"/>
      <c r="FG188" s="456"/>
      <c r="FH188" s="456"/>
      <c r="FI188" s="456"/>
      <c r="FJ188" s="456"/>
      <c r="FK188" s="456"/>
      <c r="FL188" s="456"/>
      <c r="FM188" s="456"/>
      <c r="FN188" s="456"/>
      <c r="FO188" s="456"/>
      <c r="FP188" s="456"/>
      <c r="FQ188" s="456"/>
      <c r="FR188" s="456"/>
      <c r="FS188" s="456"/>
      <c r="FT188" s="456"/>
      <c r="FU188" s="456"/>
      <c r="FV188" s="456"/>
      <c r="FW188" s="456"/>
      <c r="FX188" s="456"/>
      <c r="FY188" s="456"/>
      <c r="FZ188" s="456"/>
      <c r="GA188" s="456"/>
      <c r="GB188" s="456"/>
      <c r="GC188" s="456"/>
      <c r="GD188" s="456"/>
      <c r="GE188" s="456"/>
      <c r="GF188" s="456"/>
      <c r="GG188" s="456"/>
      <c r="GH188" s="456"/>
      <c r="GI188" s="456"/>
      <c r="GJ188" s="457"/>
      <c r="GK188" s="457"/>
      <c r="GL188" s="456"/>
      <c r="GM188" s="456"/>
      <c r="GN188" s="456"/>
      <c r="GO188" s="456"/>
      <c r="GP188" s="456"/>
      <c r="GQ188" s="456"/>
      <c r="GR188" s="456"/>
      <c r="GS188" s="456"/>
      <c r="GT188" s="456"/>
      <c r="GU188" s="456"/>
      <c r="GV188" s="456"/>
      <c r="GW188" s="16"/>
      <c r="GX188" s="456"/>
      <c r="GY188" s="456"/>
      <c r="GZ188" s="456"/>
      <c r="HA188" s="456"/>
      <c r="HB188" s="456"/>
      <c r="HC188" s="456"/>
      <c r="HD188" s="456"/>
      <c r="HE188" s="456"/>
      <c r="HF188" s="456"/>
      <c r="HG188" s="456"/>
      <c r="HH188" s="456"/>
      <c r="HI188" s="456"/>
      <c r="HJ188" s="456"/>
      <c r="HK188" s="456"/>
      <c r="HL188" s="456"/>
      <c r="HM188" s="456"/>
      <c r="HN188" s="456"/>
      <c r="HO188" s="456"/>
      <c r="HP188" s="456"/>
      <c r="HQ188" s="456"/>
      <c r="HR188" s="456"/>
      <c r="HS188" s="456"/>
      <c r="HT188" s="456"/>
      <c r="HU188" s="456"/>
      <c r="HV188" s="456"/>
      <c r="HW188" s="456"/>
      <c r="HX188" s="456"/>
      <c r="HY188" s="456"/>
      <c r="HZ188" s="456"/>
      <c r="IA188" s="456"/>
      <c r="IB188" s="456"/>
      <c r="IC188" s="456"/>
      <c r="ID188" s="456"/>
      <c r="IE188" s="456"/>
      <c r="IF188" s="456"/>
      <c r="IG188" s="456"/>
      <c r="IH188" s="456"/>
      <c r="II188" s="456"/>
      <c r="IJ188" s="456"/>
      <c r="IK188" s="456"/>
      <c r="IL188" s="456"/>
      <c r="IM188" s="456"/>
      <c r="IN188" s="457"/>
      <c r="IO188" s="457"/>
      <c r="IP188" s="456"/>
      <c r="IQ188" s="456"/>
      <c r="IR188" s="456"/>
      <c r="IS188" s="456"/>
      <c r="IT188" s="456"/>
      <c r="IU188" s="456"/>
      <c r="IV188" s="456"/>
      <c r="IW188" s="456"/>
      <c r="IX188" s="456"/>
      <c r="IY188" s="456"/>
      <c r="IZ188" s="456"/>
      <c r="JA188" s="456"/>
      <c r="JB188" s="456"/>
      <c r="JC188" s="456"/>
      <c r="JD188" s="456"/>
      <c r="JE188" s="456"/>
      <c r="JF188" s="456"/>
      <c r="JG188" s="456"/>
      <c r="JH188" s="456"/>
      <c r="JI188" s="456"/>
      <c r="JJ188" s="456"/>
      <c r="JK188" s="456"/>
      <c r="JL188" s="456"/>
      <c r="JM188" s="456"/>
      <c r="JN188" s="456"/>
      <c r="JO188" s="456"/>
      <c r="JP188" s="456"/>
      <c r="JQ188" s="456"/>
      <c r="JR188" s="456"/>
      <c r="JS188" s="456"/>
      <c r="JT188" s="456"/>
      <c r="JU188" s="456"/>
      <c r="JV188" s="456"/>
      <c r="JW188" s="456"/>
      <c r="JX188" s="456"/>
      <c r="JY188" s="456"/>
      <c r="JZ188" s="456"/>
      <c r="KA188" s="456"/>
      <c r="KB188" s="456"/>
      <c r="KC188" s="456"/>
      <c r="KD188" s="456"/>
      <c r="KE188" s="456"/>
      <c r="KF188" s="456"/>
    </row>
    <row r="189" spans="1:292" ht="70" customHeight="1">
      <c r="A189" s="371">
        <v>760177</v>
      </c>
      <c r="B189" s="282"/>
      <c r="C189" s="282"/>
      <c r="D189" s="282"/>
      <c r="E189" s="282"/>
      <c r="F189" s="335" t="s">
        <v>704</v>
      </c>
      <c r="G189" s="577" t="s">
        <v>477</v>
      </c>
      <c r="H189" s="577"/>
      <c r="I189" s="104" t="s">
        <v>54</v>
      </c>
      <c r="J189" s="156" t="s">
        <v>115</v>
      </c>
      <c r="K189" s="236"/>
      <c r="L189" s="529"/>
      <c r="M189" s="33"/>
      <c r="N189" s="42"/>
      <c r="O189" s="33"/>
      <c r="P189" s="526"/>
      <c r="Q189" s="637"/>
      <c r="R189" s="526"/>
      <c r="S189" s="526"/>
      <c r="T189" s="585"/>
      <c r="U189" s="372"/>
      <c r="V189" s="277" t="s">
        <v>496</v>
      </c>
      <c r="W189" s="211"/>
      <c r="X189" s="456"/>
      <c r="Y189" s="456"/>
      <c r="Z189" s="465"/>
      <c r="AA189" s="465"/>
      <c r="AB189" s="465"/>
      <c r="AC189" s="11"/>
      <c r="AD189" s="465"/>
      <c r="AE189" s="456"/>
      <c r="AF189" s="10"/>
      <c r="AG189" s="456"/>
      <c r="AH189" s="456"/>
      <c r="AI189" s="456"/>
      <c r="AJ189" s="457"/>
      <c r="AK189" s="457"/>
      <c r="AL189" s="456"/>
      <c r="AM189" s="456"/>
      <c r="AN189" s="456"/>
      <c r="AO189" s="456"/>
      <c r="AP189" s="86"/>
      <c r="AQ189" s="86"/>
      <c r="AR189" s="656"/>
      <c r="AS189" s="656"/>
      <c r="AT189" s="86"/>
      <c r="AU189" s="86"/>
      <c r="AV189" s="86"/>
      <c r="AW189" s="86"/>
      <c r="AX189" s="11"/>
      <c r="AY189" s="465"/>
      <c r="AZ189" s="465"/>
      <c r="BA189" s="465"/>
      <c r="BB189" s="465"/>
      <c r="BC189" s="465"/>
      <c r="BD189" s="465"/>
      <c r="BE189" s="465"/>
      <c r="BF189" s="465"/>
      <c r="BG189" s="465"/>
      <c r="BH189" s="465"/>
      <c r="BI189" s="465"/>
      <c r="BJ189" s="465"/>
      <c r="BK189" s="465"/>
      <c r="BL189" s="465"/>
      <c r="BM189" s="465"/>
      <c r="BN189" s="465"/>
      <c r="BO189" s="377"/>
      <c r="BP189" s="465"/>
      <c r="BQ189" s="465"/>
      <c r="BR189" s="465"/>
      <c r="BS189" s="465"/>
      <c r="BT189" s="465"/>
      <c r="BU189" s="465"/>
      <c r="BV189" s="465"/>
      <c r="BW189" s="465"/>
      <c r="BX189" s="465"/>
      <c r="BY189" s="465"/>
      <c r="BZ189" s="465"/>
      <c r="CA189" s="465"/>
      <c r="CB189" s="465"/>
      <c r="CC189" s="465"/>
      <c r="CD189" s="465"/>
      <c r="CE189" s="465"/>
      <c r="CF189" s="465"/>
      <c r="CG189" s="465"/>
      <c r="CH189" s="465"/>
      <c r="CI189" s="465"/>
      <c r="CJ189" s="465"/>
      <c r="CK189" s="465"/>
      <c r="CL189" s="465"/>
      <c r="CM189" s="457"/>
      <c r="CN189" s="457"/>
      <c r="CO189" s="465"/>
      <c r="CP189" s="465"/>
      <c r="CQ189" s="465"/>
      <c r="CR189" s="465"/>
      <c r="CS189" s="465"/>
      <c r="CT189" s="465"/>
      <c r="CU189" s="465"/>
      <c r="CV189" s="465"/>
      <c r="CW189" s="2"/>
      <c r="CX189" s="457"/>
      <c r="CY189" s="465"/>
      <c r="CZ189" s="465"/>
      <c r="DA189" s="465"/>
      <c r="DB189" s="465"/>
      <c r="DC189" s="465"/>
      <c r="DD189" s="456"/>
      <c r="DE189" s="456"/>
      <c r="DF189" s="456"/>
      <c r="DG189" s="456"/>
      <c r="DH189" s="456"/>
      <c r="DI189" s="456"/>
      <c r="DJ189" s="456"/>
      <c r="DK189" s="456"/>
      <c r="DL189" s="456"/>
      <c r="DM189" s="456"/>
      <c r="DN189" s="456"/>
      <c r="DO189" s="456"/>
      <c r="DP189" s="456"/>
      <c r="DQ189" s="456"/>
      <c r="DR189" s="10"/>
      <c r="DS189" s="456"/>
      <c r="DT189" s="456"/>
      <c r="DU189" s="456"/>
      <c r="DV189" s="456"/>
      <c r="DW189" s="456"/>
      <c r="DX189" s="456"/>
      <c r="DY189" s="456"/>
      <c r="DZ189" s="86"/>
      <c r="EA189" s="86"/>
      <c r="EB189" s="656"/>
      <c r="EC189" s="656"/>
      <c r="ED189" s="10"/>
      <c r="EE189" s="456"/>
      <c r="EF189" s="456"/>
      <c r="EG189" s="456"/>
      <c r="EH189" s="456"/>
      <c r="EI189" s="456"/>
      <c r="EJ189" s="456"/>
      <c r="EK189" s="456"/>
      <c r="EL189" s="457"/>
      <c r="EM189" s="457"/>
      <c r="EN189" s="456"/>
      <c r="EO189" s="456"/>
      <c r="EP189" s="456"/>
      <c r="EQ189" s="456"/>
      <c r="ER189" s="456"/>
      <c r="ES189" s="456"/>
      <c r="ET189" s="456"/>
      <c r="EU189" s="456"/>
      <c r="EV189" s="456"/>
      <c r="EW189" s="456"/>
      <c r="EX189" s="456"/>
      <c r="EY189" s="456"/>
      <c r="EZ189" s="456"/>
      <c r="FA189" s="378"/>
      <c r="FB189" s="456"/>
      <c r="FC189" s="456"/>
      <c r="FD189" s="456"/>
      <c r="FE189" s="456"/>
      <c r="FF189" s="456"/>
      <c r="FG189" s="456"/>
      <c r="FH189" s="456"/>
      <c r="FI189" s="456"/>
      <c r="FJ189" s="456"/>
      <c r="FK189" s="456"/>
      <c r="FL189" s="456"/>
      <c r="FM189" s="456"/>
      <c r="FN189" s="456"/>
      <c r="FO189" s="456"/>
      <c r="FP189" s="456"/>
      <c r="FQ189" s="456"/>
      <c r="FR189" s="456"/>
      <c r="FS189" s="456"/>
      <c r="FT189" s="456"/>
      <c r="FU189" s="456"/>
      <c r="FV189" s="456"/>
      <c r="FW189" s="456"/>
      <c r="FX189" s="456"/>
      <c r="FY189" s="456"/>
      <c r="FZ189" s="456"/>
      <c r="GA189" s="456"/>
      <c r="GB189" s="456"/>
      <c r="GC189" s="456"/>
      <c r="GD189" s="456"/>
      <c r="GE189" s="456"/>
      <c r="GF189" s="456"/>
      <c r="GG189" s="456"/>
      <c r="GH189" s="456"/>
      <c r="GI189" s="456"/>
      <c r="GJ189" s="457"/>
      <c r="GK189" s="457"/>
      <c r="GL189" s="456"/>
      <c r="GM189" s="456"/>
      <c r="GN189" s="456"/>
      <c r="GO189" s="456"/>
      <c r="GP189" s="456"/>
      <c r="GQ189" s="456"/>
      <c r="GR189" s="456"/>
      <c r="GS189" s="456"/>
      <c r="GT189" s="456"/>
      <c r="GU189" s="456"/>
      <c r="GV189" s="456"/>
      <c r="GW189" s="16"/>
      <c r="GX189" s="456"/>
      <c r="GY189" s="456"/>
      <c r="GZ189" s="456"/>
      <c r="HA189" s="456"/>
      <c r="HB189" s="456"/>
      <c r="HC189" s="456"/>
      <c r="HD189" s="456"/>
      <c r="HE189" s="456"/>
      <c r="HF189" s="456"/>
      <c r="HG189" s="456"/>
      <c r="HH189" s="456"/>
      <c r="HI189" s="456"/>
      <c r="HJ189" s="456"/>
      <c r="HK189" s="456"/>
      <c r="HL189" s="456"/>
      <c r="HM189" s="456"/>
      <c r="HN189" s="456"/>
      <c r="HO189" s="456"/>
      <c r="HP189" s="456"/>
      <c r="HQ189" s="456"/>
      <c r="HR189" s="456"/>
      <c r="HS189" s="456"/>
      <c r="HT189" s="456"/>
      <c r="HU189" s="456"/>
      <c r="HV189" s="456"/>
      <c r="HW189" s="456"/>
      <c r="HX189" s="456"/>
      <c r="HY189" s="456"/>
      <c r="HZ189" s="456"/>
      <c r="IA189" s="456"/>
      <c r="IB189" s="456"/>
      <c r="IC189" s="456"/>
      <c r="ID189" s="456"/>
      <c r="IE189" s="456"/>
      <c r="IF189" s="456"/>
      <c r="IG189" s="456"/>
      <c r="IH189" s="456"/>
      <c r="II189" s="456"/>
      <c r="IJ189" s="456"/>
      <c r="IK189" s="456"/>
      <c r="IL189" s="456"/>
      <c r="IM189" s="456"/>
      <c r="IN189" s="457"/>
      <c r="IO189" s="457"/>
      <c r="IP189" s="456"/>
      <c r="IQ189" s="456"/>
      <c r="IR189" s="456"/>
      <c r="IS189" s="456"/>
      <c r="IT189" s="456"/>
      <c r="IU189" s="456"/>
      <c r="IV189" s="456"/>
      <c r="IW189" s="456"/>
      <c r="IX189" s="456"/>
      <c r="IY189" s="456"/>
      <c r="IZ189" s="456"/>
      <c r="JA189" s="456"/>
      <c r="JB189" s="456"/>
      <c r="JC189" s="456"/>
      <c r="JD189" s="456"/>
      <c r="JE189" s="456"/>
      <c r="JF189" s="456"/>
      <c r="JG189" s="456"/>
      <c r="JH189" s="456"/>
      <c r="JI189" s="456"/>
      <c r="JJ189" s="456"/>
      <c r="JK189" s="456"/>
      <c r="JL189" s="456"/>
      <c r="JM189" s="456"/>
      <c r="JN189" s="456"/>
      <c r="JO189" s="456"/>
      <c r="JP189" s="456"/>
      <c r="JQ189" s="456"/>
      <c r="JR189" s="456"/>
      <c r="JS189" s="456"/>
      <c r="JT189" s="456"/>
      <c r="JU189" s="456"/>
      <c r="JV189" s="456"/>
      <c r="JW189" s="456"/>
      <c r="JX189" s="456"/>
      <c r="JY189" s="456"/>
      <c r="JZ189" s="456"/>
      <c r="KA189" s="456"/>
      <c r="KB189" s="456"/>
      <c r="KC189" s="456"/>
      <c r="KD189" s="456"/>
      <c r="KE189" s="456"/>
      <c r="KF189" s="456"/>
    </row>
    <row r="190" spans="1:292" ht="70" customHeight="1">
      <c r="A190" s="371">
        <v>760178</v>
      </c>
      <c r="B190" s="282"/>
      <c r="C190" s="282"/>
      <c r="D190" s="282"/>
      <c r="E190" s="282"/>
      <c r="F190" s="335" t="s">
        <v>704</v>
      </c>
      <c r="G190" s="577" t="s">
        <v>477</v>
      </c>
      <c r="H190" s="577"/>
      <c r="I190" s="104" t="s">
        <v>54</v>
      </c>
      <c r="J190" s="156" t="s">
        <v>115</v>
      </c>
      <c r="K190" s="236"/>
      <c r="L190" s="529"/>
      <c r="M190" s="33"/>
      <c r="N190" s="42"/>
      <c r="O190" s="33"/>
      <c r="P190" s="526"/>
      <c r="Q190" s="637"/>
      <c r="R190" s="526"/>
      <c r="S190" s="526"/>
      <c r="T190" s="585"/>
      <c r="U190" s="372"/>
      <c r="V190" s="277" t="s">
        <v>496</v>
      </c>
      <c r="W190" s="211"/>
      <c r="X190" s="456"/>
      <c r="Y190" s="456"/>
      <c r="Z190" s="465"/>
      <c r="AA190" s="465"/>
      <c r="AB190" s="465"/>
      <c r="AC190" s="11"/>
      <c r="AD190" s="465"/>
      <c r="AE190" s="456"/>
      <c r="AF190" s="10"/>
      <c r="AG190" s="456"/>
      <c r="AH190" s="456"/>
      <c r="AI190" s="456"/>
      <c r="AJ190" s="457"/>
      <c r="AK190" s="457"/>
      <c r="AL190" s="456"/>
      <c r="AM190" s="456"/>
      <c r="AN190" s="456"/>
      <c r="AO190" s="456"/>
      <c r="AP190" s="86"/>
      <c r="AQ190" s="86"/>
      <c r="AR190" s="656"/>
      <c r="AS190" s="656"/>
      <c r="AT190" s="86"/>
      <c r="AU190" s="86"/>
      <c r="AV190" s="86"/>
      <c r="AW190" s="86"/>
      <c r="AX190" s="11"/>
      <c r="AY190" s="465"/>
      <c r="AZ190" s="465"/>
      <c r="BA190" s="465"/>
      <c r="BB190" s="465"/>
      <c r="BC190" s="465"/>
      <c r="BD190" s="465"/>
      <c r="BE190" s="465"/>
      <c r="BF190" s="465"/>
      <c r="BG190" s="465"/>
      <c r="BH190" s="465"/>
      <c r="BI190" s="465"/>
      <c r="BJ190" s="465"/>
      <c r="BK190" s="465"/>
      <c r="BL190" s="465"/>
      <c r="BM190" s="465"/>
      <c r="BN190" s="465"/>
      <c r="BO190" s="377"/>
      <c r="BP190" s="465"/>
      <c r="BQ190" s="465"/>
      <c r="BR190" s="465"/>
      <c r="BS190" s="465"/>
      <c r="BT190" s="465"/>
      <c r="BU190" s="465"/>
      <c r="BV190" s="465"/>
      <c r="BW190" s="465"/>
      <c r="BX190" s="465"/>
      <c r="BY190" s="465"/>
      <c r="BZ190" s="465"/>
      <c r="CA190" s="465"/>
      <c r="CB190" s="465"/>
      <c r="CC190" s="465"/>
      <c r="CD190" s="465"/>
      <c r="CE190" s="465"/>
      <c r="CF190" s="465"/>
      <c r="CG190" s="465"/>
      <c r="CH190" s="465"/>
      <c r="CI190" s="465"/>
      <c r="CJ190" s="465"/>
      <c r="CK190" s="465"/>
      <c r="CL190" s="465"/>
      <c r="CM190" s="457"/>
      <c r="CN190" s="457"/>
      <c r="CO190" s="465"/>
      <c r="CP190" s="465"/>
      <c r="CQ190" s="465"/>
      <c r="CR190" s="465"/>
      <c r="CS190" s="465"/>
      <c r="CT190" s="465"/>
      <c r="CU190" s="465"/>
      <c r="CV190" s="465"/>
      <c r="CW190" s="2"/>
      <c r="CX190" s="457"/>
      <c r="CY190" s="465"/>
      <c r="CZ190" s="465"/>
      <c r="DA190" s="465"/>
      <c r="DB190" s="465"/>
      <c r="DC190" s="465"/>
      <c r="DD190" s="456"/>
      <c r="DE190" s="456"/>
      <c r="DF190" s="456"/>
      <c r="DG190" s="456"/>
      <c r="DH190" s="456"/>
      <c r="DI190" s="456"/>
      <c r="DJ190" s="456"/>
      <c r="DK190" s="456"/>
      <c r="DL190" s="456"/>
      <c r="DM190" s="456"/>
      <c r="DN190" s="456"/>
      <c r="DO190" s="456"/>
      <c r="DP190" s="456"/>
      <c r="DQ190" s="456"/>
      <c r="DR190" s="10"/>
      <c r="DS190" s="456"/>
      <c r="DT190" s="456"/>
      <c r="DU190" s="456"/>
      <c r="DV190" s="456"/>
      <c r="DW190" s="456"/>
      <c r="DX190" s="456"/>
      <c r="DY190" s="456"/>
      <c r="DZ190" s="86"/>
      <c r="EA190" s="86"/>
      <c r="EB190" s="656"/>
      <c r="EC190" s="656"/>
      <c r="ED190" s="10"/>
      <c r="EE190" s="456"/>
      <c r="EF190" s="456"/>
      <c r="EG190" s="456"/>
      <c r="EH190" s="456"/>
      <c r="EI190" s="456"/>
      <c r="EJ190" s="456"/>
      <c r="EK190" s="456"/>
      <c r="EL190" s="457"/>
      <c r="EM190" s="457"/>
      <c r="EN190" s="456"/>
      <c r="EO190" s="456"/>
      <c r="EP190" s="456"/>
      <c r="EQ190" s="456"/>
      <c r="ER190" s="456"/>
      <c r="ES190" s="456"/>
      <c r="ET190" s="456"/>
      <c r="EU190" s="456"/>
      <c r="EV190" s="456"/>
      <c r="EW190" s="456"/>
      <c r="EX190" s="456"/>
      <c r="EY190" s="456"/>
      <c r="EZ190" s="456"/>
      <c r="FA190" s="378"/>
      <c r="FB190" s="456"/>
      <c r="FC190" s="456"/>
      <c r="FD190" s="456"/>
      <c r="FE190" s="456"/>
      <c r="FF190" s="456"/>
      <c r="FG190" s="456"/>
      <c r="FH190" s="456"/>
      <c r="FI190" s="456"/>
      <c r="FJ190" s="456"/>
      <c r="FK190" s="456"/>
      <c r="FL190" s="456"/>
      <c r="FM190" s="456"/>
      <c r="FN190" s="456"/>
      <c r="FO190" s="456"/>
      <c r="FP190" s="456"/>
      <c r="FQ190" s="456"/>
      <c r="FR190" s="456"/>
      <c r="FS190" s="456"/>
      <c r="FT190" s="456"/>
      <c r="FU190" s="456"/>
      <c r="FV190" s="456"/>
      <c r="FW190" s="456"/>
      <c r="FX190" s="456"/>
      <c r="FY190" s="456"/>
      <c r="FZ190" s="456"/>
      <c r="GA190" s="456"/>
      <c r="GB190" s="456"/>
      <c r="GC190" s="456"/>
      <c r="GD190" s="456"/>
      <c r="GE190" s="456"/>
      <c r="GF190" s="456"/>
      <c r="GG190" s="456"/>
      <c r="GH190" s="456"/>
      <c r="GI190" s="456"/>
      <c r="GJ190" s="457"/>
      <c r="GK190" s="457"/>
      <c r="GL190" s="456"/>
      <c r="GM190" s="456"/>
      <c r="GN190" s="456"/>
      <c r="GO190" s="456"/>
      <c r="GP190" s="456"/>
      <c r="GQ190" s="456"/>
      <c r="GR190" s="456"/>
      <c r="GS190" s="456"/>
      <c r="GT190" s="456"/>
      <c r="GU190" s="456"/>
      <c r="GV190" s="456"/>
      <c r="GW190" s="16"/>
      <c r="GX190" s="456"/>
      <c r="GY190" s="456"/>
      <c r="GZ190" s="456"/>
      <c r="HA190" s="456"/>
      <c r="HB190" s="456"/>
      <c r="HC190" s="456"/>
      <c r="HD190" s="456"/>
      <c r="HE190" s="456"/>
      <c r="HF190" s="456"/>
      <c r="HG190" s="456"/>
      <c r="HH190" s="456"/>
      <c r="HI190" s="456"/>
      <c r="HJ190" s="456"/>
      <c r="HK190" s="456"/>
      <c r="HL190" s="456"/>
      <c r="HM190" s="456"/>
      <c r="HN190" s="456"/>
      <c r="HO190" s="456"/>
      <c r="HP190" s="456"/>
      <c r="HQ190" s="456"/>
      <c r="HR190" s="456"/>
      <c r="HS190" s="456"/>
      <c r="HT190" s="456"/>
      <c r="HU190" s="456"/>
      <c r="HV190" s="456"/>
      <c r="HW190" s="456"/>
      <c r="HX190" s="456"/>
      <c r="HY190" s="456"/>
      <c r="HZ190" s="456"/>
      <c r="IA190" s="456"/>
      <c r="IB190" s="456"/>
      <c r="IC190" s="456"/>
      <c r="ID190" s="456"/>
      <c r="IE190" s="456"/>
      <c r="IF190" s="456"/>
      <c r="IG190" s="456"/>
      <c r="IH190" s="456"/>
      <c r="II190" s="456"/>
      <c r="IJ190" s="456"/>
      <c r="IK190" s="456"/>
      <c r="IL190" s="456"/>
      <c r="IM190" s="456"/>
      <c r="IN190" s="457"/>
      <c r="IO190" s="457"/>
      <c r="IP190" s="456"/>
      <c r="IQ190" s="456"/>
      <c r="IR190" s="456"/>
      <c r="IS190" s="456"/>
      <c r="IT190" s="456"/>
      <c r="IU190" s="456"/>
      <c r="IV190" s="456"/>
      <c r="IW190" s="456"/>
      <c r="IX190" s="456"/>
      <c r="IY190" s="456"/>
      <c r="IZ190" s="456"/>
      <c r="JA190" s="456"/>
      <c r="JB190" s="456"/>
      <c r="JC190" s="456"/>
      <c r="JD190" s="456"/>
      <c r="JE190" s="456"/>
      <c r="JF190" s="456"/>
      <c r="JG190" s="456"/>
      <c r="JH190" s="456"/>
      <c r="JI190" s="456"/>
      <c r="JJ190" s="456"/>
      <c r="JK190" s="456"/>
      <c r="JL190" s="456"/>
      <c r="JM190" s="456"/>
      <c r="JN190" s="456"/>
      <c r="JO190" s="456"/>
      <c r="JP190" s="456"/>
      <c r="JQ190" s="456"/>
      <c r="JR190" s="456"/>
      <c r="JS190" s="456"/>
      <c r="JT190" s="456"/>
      <c r="JU190" s="456"/>
      <c r="JV190" s="456"/>
      <c r="JW190" s="456"/>
      <c r="JX190" s="456"/>
      <c r="JY190" s="456"/>
      <c r="JZ190" s="456"/>
      <c r="KA190" s="456"/>
      <c r="KB190" s="456"/>
      <c r="KC190" s="456"/>
      <c r="KD190" s="456"/>
      <c r="KE190" s="456"/>
      <c r="KF190" s="456"/>
    </row>
    <row r="191" spans="1:292" ht="70" customHeight="1">
      <c r="A191" s="371">
        <v>760179</v>
      </c>
      <c r="B191" s="282"/>
      <c r="C191" s="282"/>
      <c r="D191" s="282"/>
      <c r="E191" s="282"/>
      <c r="F191" s="335" t="s">
        <v>704</v>
      </c>
      <c r="G191" s="577" t="s">
        <v>477</v>
      </c>
      <c r="H191" s="577"/>
      <c r="I191" s="104" t="s">
        <v>54</v>
      </c>
      <c r="J191" s="156" t="s">
        <v>115</v>
      </c>
      <c r="K191" s="236"/>
      <c r="L191" s="529"/>
      <c r="M191" s="33"/>
      <c r="N191" s="42"/>
      <c r="O191" s="33"/>
      <c r="P191" s="526"/>
      <c r="Q191" s="637"/>
      <c r="R191" s="526"/>
      <c r="S191" s="526"/>
      <c r="T191" s="585"/>
      <c r="U191" s="372"/>
      <c r="V191" s="277" t="s">
        <v>496</v>
      </c>
      <c r="W191" s="211"/>
      <c r="X191" s="456"/>
      <c r="Y191" s="456"/>
      <c r="Z191" s="465"/>
      <c r="AA191" s="465"/>
      <c r="AB191" s="465"/>
      <c r="AC191" s="11"/>
      <c r="AD191" s="465"/>
      <c r="AE191" s="456"/>
      <c r="AF191" s="10"/>
      <c r="AG191" s="456"/>
      <c r="AH191" s="456"/>
      <c r="AI191" s="456"/>
      <c r="AJ191" s="457"/>
      <c r="AK191" s="457"/>
      <c r="AL191" s="456"/>
      <c r="AM191" s="456"/>
      <c r="AN191" s="456"/>
      <c r="AO191" s="456"/>
      <c r="AP191" s="86"/>
      <c r="AQ191" s="86"/>
      <c r="AR191" s="656"/>
      <c r="AS191" s="656"/>
      <c r="AT191" s="86"/>
      <c r="AU191" s="86"/>
      <c r="AV191" s="86"/>
      <c r="AW191" s="86"/>
      <c r="AX191" s="11"/>
      <c r="AY191" s="465"/>
      <c r="AZ191" s="465"/>
      <c r="BA191" s="465"/>
      <c r="BB191" s="465"/>
      <c r="BC191" s="465"/>
      <c r="BD191" s="465"/>
      <c r="BE191" s="465"/>
      <c r="BF191" s="465"/>
      <c r="BG191" s="465"/>
      <c r="BH191" s="465"/>
      <c r="BI191" s="465"/>
      <c r="BJ191" s="465"/>
      <c r="BK191" s="465"/>
      <c r="BL191" s="465"/>
      <c r="BM191" s="465"/>
      <c r="BN191" s="465"/>
      <c r="BO191" s="377"/>
      <c r="BP191" s="465"/>
      <c r="BQ191" s="465"/>
      <c r="BR191" s="465"/>
      <c r="BS191" s="465"/>
      <c r="BT191" s="465"/>
      <c r="BU191" s="465"/>
      <c r="BV191" s="465"/>
      <c r="BW191" s="465"/>
      <c r="BX191" s="465"/>
      <c r="BY191" s="465"/>
      <c r="BZ191" s="465"/>
      <c r="CA191" s="465"/>
      <c r="CB191" s="465"/>
      <c r="CC191" s="465"/>
      <c r="CD191" s="465"/>
      <c r="CE191" s="465"/>
      <c r="CF191" s="465"/>
      <c r="CG191" s="465"/>
      <c r="CH191" s="465"/>
      <c r="CI191" s="465"/>
      <c r="CJ191" s="465"/>
      <c r="CK191" s="465"/>
      <c r="CL191" s="465"/>
      <c r="CM191" s="457"/>
      <c r="CN191" s="457"/>
      <c r="CO191" s="465"/>
      <c r="CP191" s="465"/>
      <c r="CQ191" s="465"/>
      <c r="CR191" s="465"/>
      <c r="CS191" s="465"/>
      <c r="CT191" s="465"/>
      <c r="CU191" s="465"/>
      <c r="CV191" s="465"/>
      <c r="CW191" s="2"/>
      <c r="CX191" s="457"/>
      <c r="CY191" s="465"/>
      <c r="CZ191" s="465"/>
      <c r="DA191" s="465"/>
      <c r="DB191" s="465"/>
      <c r="DC191" s="465"/>
      <c r="DD191" s="456"/>
      <c r="DE191" s="456"/>
      <c r="DF191" s="456"/>
      <c r="DG191" s="456"/>
      <c r="DH191" s="456"/>
      <c r="DI191" s="456"/>
      <c r="DJ191" s="456"/>
      <c r="DK191" s="456"/>
      <c r="DL191" s="456"/>
      <c r="DM191" s="456"/>
      <c r="DN191" s="456"/>
      <c r="DO191" s="456"/>
      <c r="DP191" s="456"/>
      <c r="DQ191" s="456"/>
      <c r="DR191" s="10"/>
      <c r="DS191" s="456"/>
      <c r="DT191" s="456"/>
      <c r="DU191" s="456"/>
      <c r="DV191" s="456"/>
      <c r="DW191" s="456"/>
      <c r="DX191" s="456"/>
      <c r="DY191" s="456"/>
      <c r="DZ191" s="86"/>
      <c r="EA191" s="86"/>
      <c r="EB191" s="656"/>
      <c r="EC191" s="656"/>
      <c r="ED191" s="10"/>
      <c r="EE191" s="456"/>
      <c r="EF191" s="456"/>
      <c r="EG191" s="456"/>
      <c r="EH191" s="456"/>
      <c r="EI191" s="456"/>
      <c r="EJ191" s="456"/>
      <c r="EK191" s="456"/>
      <c r="EL191" s="457"/>
      <c r="EM191" s="457"/>
      <c r="EN191" s="456"/>
      <c r="EO191" s="456"/>
      <c r="EP191" s="456"/>
      <c r="EQ191" s="456"/>
      <c r="ER191" s="456"/>
      <c r="ES191" s="456"/>
      <c r="ET191" s="456"/>
      <c r="EU191" s="456"/>
      <c r="EV191" s="456"/>
      <c r="EW191" s="456"/>
      <c r="EX191" s="456"/>
      <c r="EY191" s="456"/>
      <c r="EZ191" s="456"/>
      <c r="FA191" s="378"/>
      <c r="FB191" s="456"/>
      <c r="FC191" s="456"/>
      <c r="FD191" s="456"/>
      <c r="FE191" s="456"/>
      <c r="FF191" s="456"/>
      <c r="FG191" s="456"/>
      <c r="FH191" s="456"/>
      <c r="FI191" s="456"/>
      <c r="FJ191" s="456"/>
      <c r="FK191" s="456"/>
      <c r="FL191" s="456"/>
      <c r="FM191" s="456"/>
      <c r="FN191" s="456"/>
      <c r="FO191" s="456"/>
      <c r="FP191" s="456"/>
      <c r="FQ191" s="456"/>
      <c r="FR191" s="456"/>
      <c r="FS191" s="456"/>
      <c r="FT191" s="456"/>
      <c r="FU191" s="456"/>
      <c r="FV191" s="456"/>
      <c r="FW191" s="456"/>
      <c r="FX191" s="456"/>
      <c r="FY191" s="456"/>
      <c r="FZ191" s="456"/>
      <c r="GA191" s="456"/>
      <c r="GB191" s="456"/>
      <c r="GC191" s="456"/>
      <c r="GD191" s="456"/>
      <c r="GE191" s="456"/>
      <c r="GF191" s="456"/>
      <c r="GG191" s="456"/>
      <c r="GH191" s="456"/>
      <c r="GI191" s="456"/>
      <c r="GJ191" s="457"/>
      <c r="GK191" s="457"/>
      <c r="GL191" s="456"/>
      <c r="GM191" s="456"/>
      <c r="GN191" s="456"/>
      <c r="GO191" s="456"/>
      <c r="GP191" s="456"/>
      <c r="GQ191" s="456"/>
      <c r="GR191" s="456"/>
      <c r="GS191" s="456"/>
      <c r="GT191" s="456"/>
      <c r="GU191" s="456"/>
      <c r="GV191" s="456"/>
      <c r="GW191" s="16"/>
      <c r="GX191" s="456"/>
      <c r="GY191" s="456"/>
      <c r="GZ191" s="456"/>
      <c r="HA191" s="456"/>
      <c r="HB191" s="456"/>
      <c r="HC191" s="456"/>
      <c r="HD191" s="456"/>
      <c r="HE191" s="456"/>
      <c r="HF191" s="456"/>
      <c r="HG191" s="456"/>
      <c r="HH191" s="456"/>
      <c r="HI191" s="456"/>
      <c r="HJ191" s="456"/>
      <c r="HK191" s="456"/>
      <c r="HL191" s="456"/>
      <c r="HM191" s="456"/>
      <c r="HN191" s="456"/>
      <c r="HO191" s="456"/>
      <c r="HP191" s="456"/>
      <c r="HQ191" s="456"/>
      <c r="HR191" s="456"/>
      <c r="HS191" s="456"/>
      <c r="HT191" s="456"/>
      <c r="HU191" s="456"/>
      <c r="HV191" s="456"/>
      <c r="HW191" s="456"/>
      <c r="HX191" s="456"/>
      <c r="HY191" s="456"/>
      <c r="HZ191" s="456"/>
      <c r="IA191" s="456"/>
      <c r="IB191" s="456"/>
      <c r="IC191" s="456"/>
      <c r="ID191" s="456"/>
      <c r="IE191" s="456"/>
      <c r="IF191" s="456"/>
      <c r="IG191" s="456"/>
      <c r="IH191" s="456"/>
      <c r="II191" s="456"/>
      <c r="IJ191" s="456"/>
      <c r="IK191" s="456"/>
      <c r="IL191" s="456"/>
      <c r="IM191" s="456"/>
      <c r="IN191" s="457"/>
      <c r="IO191" s="457"/>
      <c r="IP191" s="456"/>
      <c r="IQ191" s="456"/>
      <c r="IR191" s="456"/>
      <c r="IS191" s="456"/>
      <c r="IT191" s="456"/>
      <c r="IU191" s="456"/>
      <c r="IV191" s="456"/>
      <c r="IW191" s="456"/>
      <c r="IX191" s="456"/>
      <c r="IY191" s="456"/>
      <c r="IZ191" s="456"/>
      <c r="JA191" s="456"/>
      <c r="JB191" s="456"/>
      <c r="JC191" s="456"/>
      <c r="JD191" s="456"/>
      <c r="JE191" s="456"/>
      <c r="JF191" s="456"/>
      <c r="JG191" s="456"/>
      <c r="JH191" s="456"/>
      <c r="JI191" s="456"/>
      <c r="JJ191" s="456"/>
      <c r="JK191" s="456"/>
      <c r="JL191" s="456"/>
      <c r="JM191" s="456"/>
      <c r="JN191" s="456"/>
      <c r="JO191" s="456"/>
      <c r="JP191" s="456"/>
      <c r="JQ191" s="456"/>
      <c r="JR191" s="456"/>
      <c r="JS191" s="456"/>
      <c r="JT191" s="456"/>
      <c r="JU191" s="456"/>
      <c r="JV191" s="456"/>
      <c r="JW191" s="456"/>
      <c r="JX191" s="456"/>
      <c r="JY191" s="456"/>
      <c r="JZ191" s="456"/>
      <c r="KA191" s="456"/>
      <c r="KB191" s="456"/>
      <c r="KC191" s="456"/>
      <c r="KD191" s="456"/>
      <c r="KE191" s="456"/>
      <c r="KF191" s="456"/>
    </row>
    <row r="192" spans="1:292" ht="70" customHeight="1">
      <c r="A192" s="371">
        <v>760180</v>
      </c>
      <c r="B192" s="282"/>
      <c r="C192" s="282"/>
      <c r="D192" s="282"/>
      <c r="E192" s="282"/>
      <c r="F192" s="335" t="s">
        <v>704</v>
      </c>
      <c r="G192" s="577" t="s">
        <v>55</v>
      </c>
      <c r="H192" s="577"/>
      <c r="I192" s="104" t="s">
        <v>54</v>
      </c>
      <c r="J192" s="156" t="s">
        <v>115</v>
      </c>
      <c r="K192" s="236"/>
      <c r="L192" s="529"/>
      <c r="M192" s="33"/>
      <c r="N192" s="42"/>
      <c r="O192" s="33"/>
      <c r="P192" s="526">
        <v>46249</v>
      </c>
      <c r="Q192" s="637">
        <v>46253</v>
      </c>
      <c r="R192" s="526">
        <v>46305</v>
      </c>
      <c r="S192" s="526"/>
      <c r="T192" s="585">
        <v>46319</v>
      </c>
      <c r="U192" s="372"/>
      <c r="V192" s="277"/>
      <c r="W192" s="211"/>
      <c r="X192" s="456"/>
      <c r="Y192" s="456"/>
      <c r="Z192" s="465"/>
      <c r="AA192" s="465"/>
      <c r="AB192" s="465"/>
      <c r="AC192" s="11"/>
      <c r="AD192" s="465"/>
      <c r="AE192" s="456"/>
      <c r="AF192" s="10"/>
      <c r="AG192" s="456"/>
      <c r="AH192" s="456"/>
      <c r="AI192" s="456"/>
      <c r="AJ192" s="457"/>
      <c r="AK192" s="457"/>
      <c r="AL192" s="456"/>
      <c r="AM192" s="456"/>
      <c r="AN192" s="456"/>
      <c r="AO192" s="456"/>
      <c r="AP192" s="86"/>
      <c r="AQ192" s="86"/>
      <c r="AR192" s="656"/>
      <c r="AS192" s="656"/>
      <c r="AT192" s="86"/>
      <c r="AU192" s="86"/>
      <c r="AV192" s="86"/>
      <c r="AW192" s="86"/>
      <c r="AX192" s="11"/>
      <c r="AY192" s="465"/>
      <c r="AZ192" s="465"/>
      <c r="BA192" s="465"/>
      <c r="BB192" s="465"/>
      <c r="BC192" s="465"/>
      <c r="BD192" s="465"/>
      <c r="BE192" s="465"/>
      <c r="BF192" s="465"/>
      <c r="BG192" s="465"/>
      <c r="BH192" s="465"/>
      <c r="BI192" s="465"/>
      <c r="BJ192" s="465"/>
      <c r="BK192" s="465"/>
      <c r="BL192" s="465"/>
      <c r="BM192" s="465"/>
      <c r="BN192" s="465"/>
      <c r="BO192" s="377"/>
      <c r="BP192" s="465"/>
      <c r="BQ192" s="465"/>
      <c r="BR192" s="465"/>
      <c r="BS192" s="465"/>
      <c r="BT192" s="465"/>
      <c r="BU192" s="465"/>
      <c r="BV192" s="465"/>
      <c r="BW192" s="465"/>
      <c r="BX192" s="465"/>
      <c r="BY192" s="465"/>
      <c r="BZ192" s="465"/>
      <c r="CA192" s="465"/>
      <c r="CB192" s="465"/>
      <c r="CC192" s="465"/>
      <c r="CD192" s="465"/>
      <c r="CE192" s="465"/>
      <c r="CF192" s="465"/>
      <c r="CG192" s="465"/>
      <c r="CH192" s="465"/>
      <c r="CI192" s="465"/>
      <c r="CJ192" s="465"/>
      <c r="CK192" s="465"/>
      <c r="CL192" s="465"/>
      <c r="CM192" s="457"/>
      <c r="CN192" s="457"/>
      <c r="CO192" s="465"/>
      <c r="CP192" s="465"/>
      <c r="CQ192" s="465"/>
      <c r="CR192" s="465"/>
      <c r="CS192" s="465"/>
      <c r="CT192" s="465"/>
      <c r="CU192" s="465"/>
      <c r="CV192" s="465"/>
      <c r="CW192" s="2"/>
      <c r="CX192" s="457"/>
      <c r="CY192" s="456"/>
      <c r="CZ192" s="456"/>
      <c r="DA192" s="465"/>
      <c r="DB192" s="465"/>
      <c r="DC192" s="465"/>
      <c r="DD192" s="465"/>
      <c r="DE192" s="465"/>
      <c r="DF192" s="465"/>
      <c r="DG192" s="456"/>
      <c r="DH192" s="456"/>
      <c r="DI192" s="456"/>
      <c r="DJ192" s="456"/>
      <c r="DK192" s="456"/>
      <c r="DL192" s="456"/>
      <c r="DM192" s="456"/>
      <c r="DN192" s="456"/>
      <c r="DO192" s="505" t="s">
        <v>478</v>
      </c>
      <c r="DP192" s="1"/>
      <c r="DQ192" s="1"/>
      <c r="DR192" s="657" t="s">
        <v>479</v>
      </c>
      <c r="DS192" s="658"/>
      <c r="DT192" s="659" t="s">
        <v>480</v>
      </c>
      <c r="DU192" s="108"/>
      <c r="DV192" s="109" t="s">
        <v>481</v>
      </c>
      <c r="DW192" s="534"/>
      <c r="DX192" s="638" t="s">
        <v>482</v>
      </c>
      <c r="DY192" s="638"/>
      <c r="DZ192" s="456"/>
      <c r="EA192" s="456"/>
      <c r="EB192" s="656"/>
      <c r="EC192" s="656"/>
      <c r="ED192" s="10"/>
      <c r="EE192" s="456"/>
      <c r="EF192" s="456"/>
      <c r="EG192" s="456"/>
      <c r="EH192" s="456"/>
      <c r="EI192" s="456"/>
      <c r="EJ192" s="456"/>
      <c r="EK192" s="456"/>
      <c r="EL192" s="457"/>
      <c r="EM192" s="457"/>
      <c r="EN192" s="456"/>
      <c r="EO192" s="456"/>
      <c r="EP192" s="456"/>
      <c r="EQ192" s="456"/>
      <c r="ER192" s="456"/>
      <c r="ES192" s="456"/>
      <c r="ET192" s="456"/>
      <c r="EU192" s="456"/>
      <c r="EV192" s="456"/>
      <c r="EW192" s="456"/>
      <c r="EX192" s="456"/>
      <c r="EY192" s="456"/>
      <c r="EZ192" s="456"/>
      <c r="FA192" s="378"/>
      <c r="FB192" s="456"/>
      <c r="FC192" s="456"/>
      <c r="FD192" s="456"/>
      <c r="FE192" s="456"/>
      <c r="FF192" s="456"/>
      <c r="FG192" s="456"/>
      <c r="FH192" s="456"/>
      <c r="FI192" s="456"/>
      <c r="FJ192" s="456"/>
      <c r="FK192" s="456"/>
      <c r="FL192" s="456"/>
      <c r="FM192" s="456"/>
      <c r="FN192" s="456"/>
      <c r="FO192" s="456"/>
      <c r="FP192" s="456"/>
      <c r="FQ192" s="456"/>
      <c r="FR192" s="456"/>
      <c r="FS192" s="456"/>
      <c r="FT192" s="456"/>
      <c r="FU192" s="456"/>
      <c r="FV192" s="456"/>
      <c r="FW192" s="456"/>
      <c r="FX192" s="456"/>
      <c r="FY192" s="456"/>
      <c r="FZ192" s="456"/>
      <c r="GA192" s="456"/>
      <c r="GB192" s="456"/>
      <c r="GC192" s="456"/>
      <c r="GD192" s="456"/>
      <c r="GE192" s="456"/>
      <c r="GF192" s="456"/>
      <c r="GG192" s="456"/>
      <c r="GH192" s="456"/>
      <c r="GI192" s="456"/>
      <c r="GJ192" s="457"/>
      <c r="GK192" s="457"/>
      <c r="GL192" s="456"/>
      <c r="GM192" s="456"/>
      <c r="GN192" s="456"/>
      <c r="GO192" s="456"/>
      <c r="GP192" s="456"/>
      <c r="GQ192" s="456"/>
      <c r="GR192" s="456"/>
      <c r="GS192" s="456"/>
      <c r="GT192" s="456"/>
      <c r="GU192" s="456"/>
      <c r="GV192" s="456"/>
      <c r="GW192" s="16"/>
      <c r="GX192" s="456"/>
      <c r="GY192" s="456"/>
      <c r="GZ192" s="456"/>
      <c r="HA192" s="456"/>
      <c r="HB192" s="456"/>
      <c r="HC192" s="456"/>
      <c r="HD192" s="456"/>
      <c r="HE192" s="456"/>
      <c r="HF192" s="456"/>
      <c r="HG192" s="456"/>
      <c r="HH192" s="456"/>
      <c r="HI192" s="456"/>
      <c r="HJ192" s="456"/>
      <c r="HK192" s="456"/>
      <c r="HL192" s="456"/>
      <c r="HM192" s="456"/>
      <c r="HN192" s="456"/>
      <c r="HO192" s="456"/>
      <c r="HP192" s="456"/>
      <c r="HQ192" s="456"/>
      <c r="HR192" s="456"/>
      <c r="HS192" s="456"/>
      <c r="HT192" s="456"/>
      <c r="HU192" s="456"/>
      <c r="HV192" s="456"/>
      <c r="HW192" s="456"/>
      <c r="HX192" s="456"/>
      <c r="HY192" s="456"/>
      <c r="HZ192" s="456"/>
      <c r="IA192" s="456"/>
      <c r="IB192" s="456"/>
      <c r="IC192" s="456"/>
      <c r="ID192" s="456"/>
      <c r="IE192" s="456"/>
      <c r="IF192" s="456"/>
      <c r="IG192" s="456"/>
      <c r="IH192" s="456"/>
      <c r="II192" s="456"/>
      <c r="IJ192" s="456"/>
      <c r="IK192" s="456"/>
      <c r="IL192" s="456"/>
      <c r="IM192" s="456"/>
      <c r="IN192" s="457"/>
      <c r="IO192" s="457"/>
      <c r="IP192" s="456"/>
      <c r="IQ192" s="456"/>
      <c r="IR192" s="456"/>
      <c r="IS192" s="456"/>
      <c r="IT192" s="456"/>
      <c r="IU192" s="456"/>
      <c r="IV192" s="456"/>
      <c r="IW192" s="456"/>
      <c r="IX192" s="456"/>
      <c r="IY192" s="456"/>
      <c r="IZ192" s="456"/>
      <c r="JA192" s="456"/>
      <c r="JB192" s="456"/>
      <c r="JC192" s="456"/>
      <c r="JD192" s="456"/>
      <c r="JE192" s="456"/>
      <c r="JF192" s="456"/>
      <c r="JG192" s="456"/>
      <c r="JH192" s="456"/>
      <c r="JI192" s="456"/>
      <c r="JJ192" s="456"/>
      <c r="JK192" s="456"/>
      <c r="JL192" s="456"/>
      <c r="JM192" s="456"/>
      <c r="JN192" s="456"/>
      <c r="JO192" s="456"/>
      <c r="JP192" s="456"/>
      <c r="JQ192" s="456"/>
      <c r="JR192" s="456"/>
      <c r="JS192" s="456"/>
      <c r="JT192" s="456"/>
      <c r="JU192" s="456"/>
      <c r="JV192" s="456"/>
      <c r="JW192" s="456"/>
      <c r="JX192" s="456"/>
      <c r="JY192" s="456"/>
      <c r="JZ192" s="456"/>
      <c r="KA192" s="456"/>
      <c r="KB192" s="456"/>
      <c r="KC192" s="456"/>
      <c r="KD192" s="456"/>
      <c r="KE192" s="456"/>
      <c r="KF192" s="456"/>
    </row>
    <row r="193" spans="1:292" ht="70" customHeight="1">
      <c r="A193" s="371">
        <v>760181</v>
      </c>
      <c r="B193" s="282"/>
      <c r="C193" s="282"/>
      <c r="D193" s="282"/>
      <c r="E193" s="282"/>
      <c r="F193" s="335" t="s">
        <v>704</v>
      </c>
      <c r="G193" s="577" t="s">
        <v>55</v>
      </c>
      <c r="H193" s="577"/>
      <c r="I193" s="104" t="s">
        <v>54</v>
      </c>
      <c r="J193" s="156" t="s">
        <v>115</v>
      </c>
      <c r="K193" s="236"/>
      <c r="L193" s="529"/>
      <c r="M193" s="33"/>
      <c r="N193" s="42"/>
      <c r="O193" s="33"/>
      <c r="P193" s="526">
        <v>46263</v>
      </c>
      <c r="Q193" s="637">
        <v>46298</v>
      </c>
      <c r="R193" s="526">
        <v>46319</v>
      </c>
      <c r="S193" s="526"/>
      <c r="T193" s="585">
        <v>46334</v>
      </c>
      <c r="U193" s="372"/>
      <c r="V193" s="277"/>
      <c r="W193" s="211"/>
      <c r="X193" s="456"/>
      <c r="Y193" s="456"/>
      <c r="Z193" s="465"/>
      <c r="AA193" s="465"/>
      <c r="AB193" s="465"/>
      <c r="AC193" s="11"/>
      <c r="AD193" s="465"/>
      <c r="AE193" s="456"/>
      <c r="AF193" s="10"/>
      <c r="AG193" s="456"/>
      <c r="AH193" s="456"/>
      <c r="AI193" s="456"/>
      <c r="AJ193" s="457"/>
      <c r="AK193" s="457"/>
      <c r="AL193" s="456"/>
      <c r="AM193" s="456"/>
      <c r="AN193" s="456"/>
      <c r="AO193" s="456"/>
      <c r="AP193" s="86"/>
      <c r="AQ193" s="86"/>
      <c r="AR193" s="656"/>
      <c r="AS193" s="656"/>
      <c r="AT193" s="86"/>
      <c r="AU193" s="86"/>
      <c r="AV193" s="86"/>
      <c r="AW193" s="86"/>
      <c r="AX193" s="11"/>
      <c r="AY193" s="465"/>
      <c r="AZ193" s="465"/>
      <c r="BA193" s="465"/>
      <c r="BB193" s="465"/>
      <c r="BC193" s="465"/>
      <c r="BD193" s="465"/>
      <c r="BE193" s="465"/>
      <c r="BF193" s="465"/>
      <c r="BG193" s="465"/>
      <c r="BH193" s="465"/>
      <c r="BI193" s="465"/>
      <c r="BJ193" s="465"/>
      <c r="BK193" s="465"/>
      <c r="BL193" s="465"/>
      <c r="BM193" s="465"/>
      <c r="BN193" s="465"/>
      <c r="BO193" s="377"/>
      <c r="BP193" s="465"/>
      <c r="BQ193" s="465"/>
      <c r="BR193" s="465"/>
      <c r="BS193" s="465"/>
      <c r="BT193" s="465"/>
      <c r="BU193" s="465"/>
      <c r="BV193" s="465"/>
      <c r="BW193" s="465"/>
      <c r="BX193" s="465"/>
      <c r="BY193" s="465"/>
      <c r="BZ193" s="465"/>
      <c r="CA193" s="465"/>
      <c r="CB193" s="465"/>
      <c r="CC193" s="465"/>
      <c r="CD193" s="465"/>
      <c r="CE193" s="465"/>
      <c r="CF193" s="465"/>
      <c r="CG193" s="465"/>
      <c r="CH193" s="465"/>
      <c r="CI193" s="465"/>
      <c r="CJ193" s="465"/>
      <c r="CK193" s="465"/>
      <c r="CL193" s="465"/>
      <c r="CM193" s="457"/>
      <c r="CN193" s="457"/>
      <c r="CO193" s="465"/>
      <c r="CP193" s="465"/>
      <c r="CQ193" s="465"/>
      <c r="CR193" s="465"/>
      <c r="CS193" s="465"/>
      <c r="CT193" s="465"/>
      <c r="CU193" s="465"/>
      <c r="CV193" s="465"/>
      <c r="CW193" s="2"/>
      <c r="CX193" s="457"/>
      <c r="CY193" s="456"/>
      <c r="CZ193" s="456"/>
      <c r="DA193" s="465"/>
      <c r="DB193" s="465"/>
      <c r="DC193" s="465"/>
      <c r="DD193" s="465"/>
      <c r="DE193" s="465"/>
      <c r="DF193" s="465"/>
      <c r="DG193" s="456"/>
      <c r="DH193" s="456"/>
      <c r="DI193" s="456"/>
      <c r="DJ193" s="456"/>
      <c r="DK193" s="456"/>
      <c r="DL193" s="456"/>
      <c r="DM193" s="456"/>
      <c r="DN193" s="456"/>
      <c r="DO193" s="465"/>
      <c r="DP193" s="465"/>
      <c r="DQ193" s="505" t="s">
        <v>478</v>
      </c>
      <c r="DR193" s="1"/>
      <c r="DS193" s="1"/>
      <c r="DT193" s="657" t="s">
        <v>479</v>
      </c>
      <c r="DU193" s="658"/>
      <c r="DV193" s="659" t="s">
        <v>480</v>
      </c>
      <c r="DW193" s="108"/>
      <c r="DX193" s="109" t="s">
        <v>481</v>
      </c>
      <c r="DY193" s="534"/>
      <c r="DZ193" s="638" t="s">
        <v>482</v>
      </c>
      <c r="EA193" s="638"/>
      <c r="EB193" s="656"/>
      <c r="EC193" s="656"/>
      <c r="ED193" s="10"/>
      <c r="EE193" s="456"/>
      <c r="EF193" s="456"/>
      <c r="EG193" s="456"/>
      <c r="EH193" s="456"/>
      <c r="EI193" s="456"/>
      <c r="EJ193" s="456"/>
      <c r="EK193" s="456"/>
      <c r="EL193" s="457"/>
      <c r="EM193" s="457"/>
      <c r="EN193" s="456"/>
      <c r="EO193" s="456"/>
      <c r="EP193" s="456"/>
      <c r="EQ193" s="456"/>
      <c r="ER193" s="456"/>
      <c r="ES193" s="456"/>
      <c r="ET193" s="456"/>
      <c r="EU193" s="456"/>
      <c r="EV193" s="456"/>
      <c r="EW193" s="456"/>
      <c r="EX193" s="456"/>
      <c r="EY193" s="456"/>
      <c r="EZ193" s="456"/>
      <c r="FA193" s="378"/>
      <c r="FB193" s="456"/>
      <c r="FC193" s="456"/>
      <c r="FD193" s="456"/>
      <c r="FE193" s="456"/>
      <c r="FF193" s="456"/>
      <c r="FG193" s="456"/>
      <c r="FH193" s="456"/>
      <c r="FI193" s="456"/>
      <c r="FJ193" s="456"/>
      <c r="FK193" s="456"/>
      <c r="FL193" s="456"/>
      <c r="FM193" s="456"/>
      <c r="FN193" s="456"/>
      <c r="FO193" s="456"/>
      <c r="FP193" s="456"/>
      <c r="FQ193" s="456"/>
      <c r="FR193" s="456"/>
      <c r="FS193" s="456"/>
      <c r="FT193" s="456"/>
      <c r="FU193" s="456"/>
      <c r="FV193" s="456"/>
      <c r="FW193" s="456"/>
      <c r="FX193" s="456"/>
      <c r="FY193" s="456"/>
      <c r="FZ193" s="456"/>
      <c r="GA193" s="456"/>
      <c r="GB193" s="456"/>
      <c r="GC193" s="456"/>
      <c r="GD193" s="456"/>
      <c r="GE193" s="456"/>
      <c r="GF193" s="456"/>
      <c r="GG193" s="456"/>
      <c r="GH193" s="456"/>
      <c r="GI193" s="456"/>
      <c r="GJ193" s="457"/>
      <c r="GK193" s="457"/>
      <c r="GL193" s="456"/>
      <c r="GM193" s="456"/>
      <c r="GN193" s="456"/>
      <c r="GO193" s="456"/>
      <c r="GP193" s="456"/>
      <c r="GQ193" s="456"/>
      <c r="GR193" s="456"/>
      <c r="GS193" s="456"/>
      <c r="GT193" s="456"/>
      <c r="GU193" s="456"/>
      <c r="GV193" s="456"/>
      <c r="GW193" s="16"/>
      <c r="GX193" s="456"/>
      <c r="GY193" s="456"/>
      <c r="GZ193" s="456"/>
      <c r="HA193" s="456"/>
      <c r="HB193" s="456"/>
      <c r="HC193" s="456"/>
      <c r="HD193" s="456"/>
      <c r="HE193" s="456"/>
      <c r="HF193" s="456"/>
      <c r="HG193" s="456"/>
      <c r="HH193" s="456"/>
      <c r="HI193" s="456"/>
      <c r="HJ193" s="456"/>
      <c r="HK193" s="456"/>
      <c r="HL193" s="456"/>
      <c r="HM193" s="456"/>
      <c r="HN193" s="456"/>
      <c r="HO193" s="456"/>
      <c r="HP193" s="456"/>
      <c r="HQ193" s="456"/>
      <c r="HR193" s="456"/>
      <c r="HS193" s="456"/>
      <c r="HT193" s="456"/>
      <c r="HU193" s="456"/>
      <c r="HV193" s="456"/>
      <c r="HW193" s="456"/>
      <c r="HX193" s="456"/>
      <c r="HY193" s="456"/>
      <c r="HZ193" s="456"/>
      <c r="IA193" s="456"/>
      <c r="IB193" s="456"/>
      <c r="IC193" s="456"/>
      <c r="ID193" s="456"/>
      <c r="IE193" s="456"/>
      <c r="IF193" s="456"/>
      <c r="IG193" s="456"/>
      <c r="IH193" s="456"/>
      <c r="II193" s="456"/>
      <c r="IJ193" s="456"/>
      <c r="IK193" s="456"/>
      <c r="IL193" s="456"/>
      <c r="IM193" s="456"/>
      <c r="IN193" s="457"/>
      <c r="IO193" s="457"/>
      <c r="IP193" s="456"/>
      <c r="IQ193" s="456"/>
      <c r="IR193" s="456"/>
      <c r="IS193" s="456"/>
      <c r="IT193" s="456"/>
      <c r="IU193" s="456"/>
      <c r="IV193" s="456"/>
      <c r="IW193" s="456"/>
      <c r="IX193" s="456"/>
      <c r="IY193" s="456"/>
      <c r="IZ193" s="456"/>
      <c r="JA193" s="456"/>
      <c r="JB193" s="456"/>
      <c r="JC193" s="456"/>
      <c r="JD193" s="456"/>
      <c r="JE193" s="456"/>
      <c r="JF193" s="456"/>
      <c r="JG193" s="456"/>
      <c r="JH193" s="456"/>
      <c r="JI193" s="456"/>
      <c r="JJ193" s="456"/>
      <c r="JK193" s="456"/>
      <c r="JL193" s="456"/>
      <c r="JM193" s="456"/>
      <c r="JN193" s="456"/>
      <c r="JO193" s="456"/>
      <c r="JP193" s="456"/>
      <c r="JQ193" s="456"/>
      <c r="JR193" s="456"/>
      <c r="JS193" s="456"/>
      <c r="JT193" s="456"/>
      <c r="JU193" s="456"/>
      <c r="JV193" s="456"/>
      <c r="JW193" s="456"/>
      <c r="JX193" s="456"/>
      <c r="JY193" s="456"/>
      <c r="JZ193" s="456"/>
      <c r="KA193" s="456"/>
      <c r="KB193" s="456"/>
      <c r="KC193" s="456"/>
      <c r="KD193" s="456"/>
      <c r="KE193" s="456"/>
      <c r="KF193" s="456"/>
    </row>
    <row r="194" spans="1:292" s="665" customFormat="1" ht="70" customHeight="1">
      <c r="A194" s="379"/>
      <c r="B194" s="380"/>
      <c r="C194" s="380"/>
      <c r="D194" s="380"/>
      <c r="E194" s="380"/>
      <c r="F194" s="381"/>
      <c r="G194" s="660"/>
      <c r="H194" s="660"/>
      <c r="I194" s="97"/>
      <c r="J194" s="161"/>
      <c r="K194" s="251"/>
      <c r="L194" s="661"/>
      <c r="M194" s="98"/>
      <c r="N194" s="148"/>
      <c r="O194" s="99"/>
      <c r="P194" s="662"/>
      <c r="Q194" s="662"/>
      <c r="R194" s="662"/>
      <c r="S194" s="662"/>
      <c r="T194" s="662"/>
      <c r="U194" s="382"/>
      <c r="V194" s="278"/>
      <c r="W194" s="220"/>
      <c r="X194" s="663"/>
      <c r="Y194" s="663"/>
      <c r="Z194" s="663"/>
      <c r="AA194" s="663"/>
      <c r="AB194" s="663"/>
      <c r="AC194" s="100"/>
      <c r="AD194" s="663"/>
      <c r="AE194" s="663"/>
      <c r="AF194" s="100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101"/>
      <c r="AQ194" s="101"/>
      <c r="AR194" s="664"/>
      <c r="AS194" s="664"/>
      <c r="AT194" s="101"/>
      <c r="AU194" s="101"/>
      <c r="AV194" s="101"/>
      <c r="AW194" s="101"/>
      <c r="AX194" s="100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383"/>
      <c r="BP194" s="663"/>
      <c r="BQ194" s="663"/>
      <c r="BR194" s="663"/>
      <c r="BS194" s="663"/>
      <c r="BT194" s="663"/>
      <c r="BU194" s="663"/>
      <c r="BV194" s="663"/>
      <c r="BW194" s="663"/>
      <c r="BX194" s="663"/>
      <c r="BY194" s="663"/>
      <c r="BZ194" s="663"/>
      <c r="CA194" s="663"/>
      <c r="CB194" s="663"/>
      <c r="CC194" s="663"/>
      <c r="CD194" s="663"/>
      <c r="CE194" s="663"/>
      <c r="CF194" s="663"/>
      <c r="CG194" s="663"/>
      <c r="CH194" s="663"/>
      <c r="CI194" s="663"/>
      <c r="CJ194" s="663"/>
      <c r="CK194" s="663"/>
      <c r="CL194" s="663"/>
      <c r="CM194" s="663"/>
      <c r="CN194" s="663"/>
      <c r="CO194" s="663"/>
      <c r="CP194" s="663"/>
      <c r="CQ194" s="663"/>
      <c r="CR194" s="663"/>
      <c r="CS194" s="663"/>
      <c r="CT194" s="663"/>
      <c r="CU194" s="663"/>
      <c r="CV194" s="663"/>
      <c r="CW194" s="102"/>
      <c r="CX194" s="663"/>
      <c r="CY194" s="663"/>
      <c r="CZ194" s="663"/>
      <c r="DA194" s="663"/>
      <c r="DB194" s="663"/>
      <c r="DC194" s="663"/>
      <c r="DD194" s="663"/>
      <c r="DE194" s="663"/>
      <c r="DF194" s="663"/>
      <c r="DG194" s="663"/>
      <c r="DH194" s="663"/>
      <c r="DI194" s="663"/>
      <c r="DJ194" s="663"/>
      <c r="DK194" s="663"/>
      <c r="DL194" s="663"/>
      <c r="DM194" s="663"/>
      <c r="DN194" s="663"/>
      <c r="DO194" s="663"/>
      <c r="DP194" s="663"/>
      <c r="DQ194" s="663"/>
      <c r="DR194" s="100"/>
      <c r="DS194" s="663"/>
      <c r="DT194" s="663"/>
      <c r="DU194" s="663"/>
      <c r="DV194" s="663"/>
      <c r="DW194" s="663"/>
      <c r="DX194" s="663"/>
      <c r="DY194" s="663"/>
      <c r="DZ194" s="101"/>
      <c r="EA194" s="101"/>
      <c r="EB194" s="664"/>
      <c r="EC194" s="664"/>
      <c r="ED194" s="100"/>
      <c r="EE194" s="663"/>
      <c r="EF194" s="663"/>
      <c r="EG194" s="663"/>
      <c r="EH194" s="663"/>
      <c r="EI194" s="663"/>
      <c r="EJ194" s="663"/>
      <c r="EK194" s="663"/>
      <c r="EL194" s="663"/>
      <c r="EM194" s="663"/>
      <c r="EN194" s="663"/>
      <c r="EO194" s="663"/>
      <c r="EP194" s="663"/>
      <c r="EQ194" s="663"/>
      <c r="ER194" s="663"/>
      <c r="ES194" s="663"/>
      <c r="ET194" s="663"/>
      <c r="EU194" s="663"/>
      <c r="EV194" s="663"/>
      <c r="EW194" s="663"/>
      <c r="EX194" s="663"/>
      <c r="EY194" s="663"/>
      <c r="EZ194" s="663"/>
      <c r="FA194" s="383"/>
      <c r="FB194" s="663"/>
      <c r="FC194" s="663"/>
      <c r="FD194" s="663"/>
      <c r="FE194" s="663"/>
      <c r="FF194" s="663"/>
      <c r="FG194" s="663"/>
      <c r="FH194" s="663"/>
      <c r="FI194" s="663"/>
      <c r="FJ194" s="663"/>
      <c r="FK194" s="663"/>
      <c r="FL194" s="663"/>
      <c r="FM194" s="663"/>
      <c r="FN194" s="663"/>
      <c r="FO194" s="663"/>
      <c r="FP194" s="663"/>
      <c r="FQ194" s="663"/>
      <c r="FR194" s="663"/>
      <c r="FS194" s="663"/>
      <c r="FT194" s="663"/>
      <c r="FU194" s="663"/>
      <c r="FV194" s="663"/>
      <c r="FW194" s="663"/>
      <c r="FX194" s="663"/>
      <c r="FY194" s="663"/>
      <c r="FZ194" s="663"/>
      <c r="GA194" s="663"/>
      <c r="GB194" s="663"/>
      <c r="GC194" s="663"/>
      <c r="GD194" s="663"/>
      <c r="GE194" s="663"/>
      <c r="GF194" s="663"/>
      <c r="GG194" s="663"/>
      <c r="GH194" s="663"/>
      <c r="GI194" s="663"/>
      <c r="GJ194" s="663"/>
      <c r="GK194" s="663"/>
      <c r="GL194" s="663"/>
      <c r="GM194" s="663"/>
      <c r="GN194" s="663"/>
      <c r="GO194" s="663"/>
      <c r="GP194" s="663"/>
      <c r="GQ194" s="663"/>
      <c r="GR194" s="663"/>
      <c r="GS194" s="663"/>
      <c r="GT194" s="663"/>
      <c r="GU194" s="663"/>
      <c r="GV194" s="663"/>
      <c r="GW194" s="102"/>
      <c r="GX194" s="663"/>
      <c r="GY194" s="663"/>
      <c r="GZ194" s="663"/>
      <c r="HA194" s="663"/>
      <c r="HB194" s="663"/>
      <c r="HC194" s="663"/>
      <c r="HD194" s="663"/>
      <c r="HE194" s="663"/>
      <c r="HF194" s="663"/>
      <c r="HG194" s="663"/>
      <c r="HH194" s="663"/>
      <c r="HI194" s="663"/>
      <c r="HJ194" s="663"/>
      <c r="HK194" s="663"/>
      <c r="HL194" s="663"/>
      <c r="HM194" s="663"/>
      <c r="HN194" s="663"/>
      <c r="HO194" s="663"/>
      <c r="HP194" s="663"/>
      <c r="HQ194" s="663"/>
      <c r="HR194" s="663"/>
      <c r="HS194" s="663"/>
      <c r="HT194" s="663"/>
      <c r="HU194" s="663"/>
      <c r="HV194" s="663"/>
      <c r="HW194" s="663"/>
      <c r="HX194" s="663"/>
      <c r="HY194" s="663"/>
      <c r="HZ194" s="663"/>
      <c r="IA194" s="663"/>
      <c r="IB194" s="663"/>
      <c r="IC194" s="663"/>
      <c r="ID194" s="663"/>
      <c r="IE194" s="663"/>
      <c r="IF194" s="663"/>
      <c r="IG194" s="663"/>
      <c r="IH194" s="663"/>
      <c r="II194" s="663"/>
      <c r="IJ194" s="663"/>
      <c r="IK194" s="663"/>
      <c r="IL194" s="663"/>
      <c r="IM194" s="663"/>
      <c r="IN194" s="663"/>
      <c r="IO194" s="663"/>
      <c r="IP194" s="663"/>
      <c r="IQ194" s="663"/>
      <c r="IR194" s="663"/>
      <c r="IS194" s="663"/>
      <c r="IT194" s="663"/>
      <c r="IU194" s="663"/>
      <c r="IV194" s="663"/>
      <c r="IW194" s="663"/>
      <c r="IX194" s="663"/>
      <c r="IY194" s="663"/>
      <c r="IZ194" s="663"/>
      <c r="JA194" s="663"/>
      <c r="JB194" s="663"/>
      <c r="JC194" s="663"/>
      <c r="JD194" s="663"/>
      <c r="JE194" s="663"/>
      <c r="JF194" s="663"/>
      <c r="JG194" s="663"/>
      <c r="JH194" s="663"/>
      <c r="JI194" s="663"/>
      <c r="JJ194" s="663"/>
      <c r="JK194" s="663"/>
      <c r="JL194" s="663"/>
      <c r="JM194" s="663"/>
      <c r="JN194" s="663"/>
      <c r="JO194" s="663"/>
      <c r="JP194" s="663"/>
      <c r="JQ194" s="663"/>
      <c r="JR194" s="663"/>
      <c r="JS194" s="663"/>
      <c r="JT194" s="663"/>
      <c r="JU194" s="663"/>
      <c r="JV194" s="663"/>
      <c r="JW194" s="663"/>
      <c r="JX194" s="663"/>
      <c r="JY194" s="663"/>
      <c r="JZ194" s="663"/>
      <c r="KA194" s="663"/>
      <c r="KB194" s="663"/>
      <c r="KC194" s="663"/>
      <c r="KD194" s="663"/>
      <c r="KE194" s="663"/>
      <c r="KF194" s="663"/>
    </row>
    <row r="195" spans="1:292" s="119" customFormat="1" ht="70" customHeight="1">
      <c r="A195" s="384">
        <v>750190</v>
      </c>
      <c r="B195" s="385"/>
      <c r="C195" s="385"/>
      <c r="D195" s="385"/>
      <c r="E195" s="385"/>
      <c r="F195" s="386">
        <v>46002</v>
      </c>
      <c r="G195" s="75" t="s">
        <v>483</v>
      </c>
      <c r="H195" s="75"/>
      <c r="I195" s="111" t="s">
        <v>727</v>
      </c>
      <c r="J195" s="162" t="s">
        <v>497</v>
      </c>
      <c r="K195" s="252"/>
      <c r="L195" s="387"/>
      <c r="M195" s="33"/>
      <c r="N195" s="42"/>
      <c r="O195" s="33">
        <v>46123</v>
      </c>
      <c r="P195" s="36">
        <v>46025</v>
      </c>
      <c r="Q195" s="112">
        <v>46088</v>
      </c>
      <c r="R195" s="36">
        <v>46102</v>
      </c>
      <c r="S195" s="36"/>
      <c r="T195" s="65">
        <v>46123</v>
      </c>
      <c r="U195" s="388"/>
      <c r="V195" s="277" t="s">
        <v>859</v>
      </c>
      <c r="W195" s="212"/>
      <c r="X195" s="113"/>
      <c r="Y195" s="113"/>
      <c r="Z195" s="114"/>
      <c r="AA195" s="114"/>
      <c r="AB195" s="114"/>
      <c r="AC195" s="115"/>
      <c r="AD195" s="114"/>
      <c r="AE195" s="113"/>
      <c r="AF195" s="113"/>
      <c r="AG195" s="113"/>
      <c r="AH195" s="113"/>
      <c r="AI195" s="113"/>
      <c r="AJ195" s="116"/>
      <c r="AK195" s="116"/>
      <c r="AL195" s="113"/>
      <c r="AM195" s="113"/>
      <c r="AN195" s="113"/>
      <c r="AO195" s="113"/>
      <c r="AP195" s="117"/>
      <c r="AQ195" s="117"/>
      <c r="AR195" s="118"/>
      <c r="AS195" s="118"/>
      <c r="AT195" s="117"/>
      <c r="AU195" s="117"/>
      <c r="AV195" s="117"/>
      <c r="AW195" s="117"/>
      <c r="AX195" s="115"/>
      <c r="AY195" s="114"/>
      <c r="AZ195" s="114"/>
      <c r="BA195" s="114"/>
      <c r="BB195" s="114"/>
      <c r="BC195" s="114"/>
      <c r="BD195" s="114"/>
      <c r="BE195" s="114"/>
      <c r="BF195" s="114"/>
      <c r="BG195" s="114"/>
      <c r="BH195" s="114"/>
      <c r="BI195" s="114"/>
      <c r="BJ195" s="114"/>
      <c r="BK195" s="114"/>
      <c r="BL195" s="114"/>
      <c r="BM195" s="114"/>
      <c r="BN195" s="114"/>
      <c r="BO195" s="389"/>
      <c r="BP195" s="114"/>
      <c r="BQ195" s="114"/>
      <c r="BR195" s="114"/>
      <c r="BS195" s="114"/>
      <c r="BT195" s="114"/>
      <c r="BU195" s="114"/>
      <c r="BV195" s="114"/>
      <c r="BW195" s="114"/>
      <c r="BX195" s="114"/>
      <c r="BY195" s="114"/>
      <c r="BZ195" s="114"/>
      <c r="CA195" s="114"/>
      <c r="CB195" s="114"/>
      <c r="CD195" s="120" t="s">
        <v>484</v>
      </c>
      <c r="CE195" s="120"/>
      <c r="CF195" s="120"/>
      <c r="CG195" s="121" t="s">
        <v>478</v>
      </c>
      <c r="CH195" s="122"/>
      <c r="CI195" s="122"/>
      <c r="CJ195" s="122"/>
      <c r="CK195" s="122"/>
      <c r="CL195" s="123" t="s">
        <v>479</v>
      </c>
      <c r="CM195" s="116"/>
      <c r="CN195" s="116"/>
      <c r="CO195" s="124"/>
      <c r="CP195" s="125" t="s">
        <v>480</v>
      </c>
      <c r="CQ195" s="126"/>
      <c r="CR195" s="96" t="s">
        <v>481</v>
      </c>
      <c r="CS195" s="96"/>
      <c r="CT195" s="127" t="s">
        <v>482</v>
      </c>
      <c r="CU195" s="127"/>
      <c r="CV195" s="113"/>
      <c r="CW195" s="113"/>
      <c r="CX195" s="457"/>
      <c r="CY195" s="113"/>
      <c r="CZ195" s="113"/>
      <c r="DA195" s="113"/>
      <c r="DB195" s="113"/>
      <c r="DC195" s="113"/>
      <c r="DD195" s="113"/>
      <c r="DE195" s="113"/>
      <c r="DF195" s="113"/>
      <c r="DG195" s="113"/>
      <c r="DH195" s="113"/>
      <c r="DI195" s="113"/>
      <c r="DJ195" s="113"/>
      <c r="DK195" s="113"/>
      <c r="DL195" s="113"/>
      <c r="DM195" s="113"/>
      <c r="DN195" s="113"/>
      <c r="DO195" s="113"/>
      <c r="DP195" s="113"/>
      <c r="DQ195" s="113"/>
      <c r="DR195" s="113"/>
      <c r="DS195" s="113"/>
      <c r="DT195" s="113"/>
      <c r="DU195" s="113"/>
      <c r="DV195" s="113"/>
      <c r="DW195" s="113"/>
      <c r="DX195" s="113"/>
      <c r="DY195" s="113"/>
      <c r="DZ195" s="117"/>
      <c r="EA195" s="117"/>
      <c r="EB195" s="118"/>
      <c r="EC195" s="118"/>
      <c r="ED195" s="113"/>
      <c r="EE195" s="113"/>
      <c r="EF195" s="113"/>
      <c r="EG195" s="113"/>
      <c r="EH195" s="113"/>
      <c r="EI195" s="113"/>
      <c r="EJ195" s="113"/>
      <c r="EK195" s="113"/>
      <c r="EL195" s="116"/>
      <c r="EM195" s="116"/>
      <c r="EN195" s="113"/>
      <c r="EO195" s="113"/>
      <c r="EP195" s="113"/>
      <c r="EQ195" s="113"/>
      <c r="ER195" s="113"/>
      <c r="ES195" s="113"/>
      <c r="ET195" s="113"/>
      <c r="EU195" s="113"/>
      <c r="EV195" s="113"/>
      <c r="EW195" s="113"/>
      <c r="EX195" s="113"/>
      <c r="EY195" s="113"/>
      <c r="EZ195" s="113"/>
      <c r="FA195" s="390"/>
      <c r="FB195" s="113"/>
      <c r="FC195" s="113"/>
      <c r="FD195" s="113"/>
      <c r="FE195" s="113"/>
      <c r="FF195" s="113"/>
      <c r="FG195" s="113"/>
      <c r="FH195" s="113"/>
      <c r="FI195" s="113"/>
      <c r="FJ195" s="113"/>
      <c r="FK195" s="113"/>
      <c r="FL195" s="113"/>
      <c r="FM195" s="113"/>
      <c r="FN195" s="113"/>
      <c r="FO195" s="113"/>
      <c r="FP195" s="113"/>
      <c r="FQ195" s="113"/>
      <c r="FR195" s="113"/>
      <c r="FS195" s="113"/>
      <c r="FT195" s="113"/>
      <c r="FU195" s="113"/>
      <c r="FV195" s="113"/>
      <c r="FW195" s="113"/>
      <c r="FX195" s="113"/>
      <c r="FY195" s="113"/>
      <c r="FZ195" s="113"/>
      <c r="GA195" s="113"/>
      <c r="GB195" s="113"/>
      <c r="GC195" s="113"/>
      <c r="GD195" s="113"/>
      <c r="GE195" s="113"/>
      <c r="GF195" s="113"/>
      <c r="GG195" s="113"/>
      <c r="GH195" s="113"/>
      <c r="GI195" s="113"/>
      <c r="GJ195" s="116"/>
      <c r="GK195" s="116"/>
      <c r="GL195" s="113"/>
      <c r="GM195" s="113"/>
      <c r="GN195" s="113"/>
      <c r="GO195" s="113"/>
      <c r="GP195" s="113"/>
      <c r="GQ195" s="113"/>
      <c r="GR195" s="113"/>
      <c r="GS195" s="113"/>
      <c r="GT195" s="113"/>
      <c r="GU195" s="113"/>
      <c r="GV195" s="113"/>
      <c r="GW195" s="113"/>
      <c r="GX195" s="113"/>
      <c r="GY195" s="113"/>
      <c r="GZ195" s="113"/>
      <c r="HA195" s="113"/>
      <c r="HB195" s="113"/>
      <c r="HC195" s="113"/>
      <c r="HD195" s="113"/>
      <c r="HE195" s="113"/>
      <c r="HF195" s="113"/>
      <c r="HG195" s="113"/>
      <c r="HH195" s="113"/>
      <c r="HI195" s="113"/>
      <c r="HJ195" s="113"/>
      <c r="HK195" s="113"/>
      <c r="HL195" s="113"/>
      <c r="HM195" s="113"/>
      <c r="HN195" s="113"/>
      <c r="HO195" s="113"/>
      <c r="HP195" s="113"/>
      <c r="HQ195" s="113"/>
      <c r="HR195" s="113"/>
      <c r="HS195" s="113"/>
      <c r="HT195" s="113"/>
      <c r="HU195" s="113"/>
      <c r="HV195" s="113"/>
      <c r="HW195" s="113"/>
      <c r="HX195" s="113"/>
      <c r="HY195" s="113"/>
      <c r="HZ195" s="113"/>
      <c r="IA195" s="113"/>
      <c r="IB195" s="113"/>
      <c r="IC195" s="113"/>
      <c r="ID195" s="113"/>
      <c r="IE195" s="113"/>
      <c r="IF195" s="113"/>
      <c r="IG195" s="113"/>
      <c r="IH195" s="113"/>
      <c r="II195" s="113"/>
      <c r="IJ195" s="113"/>
      <c r="IK195" s="113"/>
      <c r="IL195" s="113"/>
      <c r="IM195" s="113"/>
      <c r="IN195" s="457"/>
      <c r="IO195" s="457"/>
      <c r="IP195" s="113"/>
      <c r="IQ195" s="113"/>
      <c r="IR195" s="113"/>
      <c r="IS195" s="113"/>
      <c r="IT195" s="113"/>
      <c r="IU195" s="113"/>
      <c r="IV195" s="113"/>
      <c r="IW195" s="113"/>
      <c r="IX195" s="113"/>
      <c r="IY195" s="113"/>
      <c r="IZ195" s="113"/>
      <c r="JA195" s="113"/>
      <c r="JB195" s="113"/>
      <c r="JC195" s="113"/>
      <c r="JD195" s="113"/>
      <c r="JE195" s="113"/>
      <c r="JF195" s="113"/>
      <c r="JG195" s="113"/>
      <c r="JH195" s="113"/>
      <c r="JI195" s="113"/>
      <c r="JJ195" s="113"/>
      <c r="JK195" s="113"/>
      <c r="JL195" s="113"/>
      <c r="JM195" s="113"/>
      <c r="JN195" s="113"/>
      <c r="JO195" s="113"/>
      <c r="JP195" s="113"/>
      <c r="JQ195" s="113"/>
      <c r="JR195" s="113"/>
      <c r="JS195" s="113"/>
      <c r="JT195" s="113"/>
      <c r="JU195" s="113"/>
      <c r="JV195" s="113"/>
      <c r="JW195" s="113"/>
      <c r="JX195" s="113"/>
      <c r="JY195" s="113"/>
      <c r="JZ195" s="113"/>
      <c r="KA195" s="113"/>
      <c r="KB195" s="113"/>
      <c r="KC195" s="113"/>
      <c r="KD195" s="113"/>
      <c r="KE195" s="113"/>
      <c r="KF195" s="113"/>
    </row>
    <row r="196" spans="1:292" ht="70" customHeight="1">
      <c r="A196" s="371">
        <v>750191</v>
      </c>
      <c r="B196" s="282"/>
      <c r="C196" s="282"/>
      <c r="D196" s="282"/>
      <c r="E196" s="282"/>
      <c r="F196" s="386">
        <v>46013</v>
      </c>
      <c r="G196" s="577" t="s">
        <v>483</v>
      </c>
      <c r="H196" s="577"/>
      <c r="I196" s="111" t="s">
        <v>724</v>
      </c>
      <c r="J196" s="160"/>
      <c r="K196" s="236"/>
      <c r="L196" s="529"/>
      <c r="M196" s="33"/>
      <c r="N196" s="42"/>
      <c r="O196" s="33"/>
      <c r="P196" s="526">
        <v>46060</v>
      </c>
      <c r="Q196" s="637">
        <v>46109</v>
      </c>
      <c r="R196" s="526">
        <v>46123</v>
      </c>
      <c r="S196" s="526"/>
      <c r="T196" s="585">
        <v>46144</v>
      </c>
      <c r="U196" s="372"/>
      <c r="V196" s="277" t="s">
        <v>860</v>
      </c>
      <c r="W196" s="211"/>
      <c r="X196" s="456"/>
      <c r="Y196" s="456"/>
      <c r="Z196" s="465"/>
      <c r="AA196" s="465"/>
      <c r="AB196" s="465"/>
      <c r="AC196" s="11"/>
      <c r="AD196" s="465"/>
      <c r="AE196" s="456"/>
      <c r="AF196" s="10"/>
      <c r="AG196" s="456"/>
      <c r="AH196" s="456"/>
      <c r="AI196" s="456"/>
      <c r="AJ196" s="457"/>
      <c r="AK196" s="457"/>
      <c r="AL196" s="456"/>
      <c r="AM196" s="456"/>
      <c r="AN196" s="456"/>
      <c r="AO196" s="456"/>
      <c r="AP196" s="86"/>
      <c r="AQ196" s="86"/>
      <c r="AR196" s="656"/>
      <c r="AS196" s="656"/>
      <c r="AT196" s="86"/>
      <c r="AU196" s="86"/>
      <c r="AV196" s="86"/>
      <c r="AW196" s="86"/>
      <c r="AX196" s="11"/>
      <c r="AY196" s="465"/>
      <c r="AZ196" s="465"/>
      <c r="BA196" s="465"/>
      <c r="BB196" s="465"/>
      <c r="BC196" s="465"/>
      <c r="BD196" s="465"/>
      <c r="BE196" s="465"/>
      <c r="BF196" s="465"/>
      <c r="BG196" s="465"/>
      <c r="BH196" s="465"/>
      <c r="BI196" s="465"/>
      <c r="BJ196" s="465"/>
      <c r="BK196" s="465"/>
      <c r="BL196" s="465"/>
      <c r="BM196" s="465"/>
      <c r="BN196" s="465"/>
      <c r="BO196" s="377"/>
      <c r="BP196" s="465"/>
      <c r="BQ196" s="465"/>
      <c r="BR196" s="465"/>
      <c r="BS196" s="465"/>
      <c r="BT196" s="465"/>
      <c r="BU196" s="465"/>
      <c r="BV196" s="465"/>
      <c r="BW196" s="465"/>
      <c r="BX196" s="465"/>
      <c r="BY196" s="465"/>
      <c r="BZ196" s="465"/>
      <c r="CA196" s="465"/>
      <c r="CB196" s="465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505" t="s">
        <v>478</v>
      </c>
      <c r="CM196" s="457"/>
      <c r="CN196" s="457"/>
      <c r="CO196" s="1"/>
      <c r="CP196" s="1"/>
      <c r="CQ196" s="657" t="s">
        <v>479</v>
      </c>
      <c r="CR196" s="658"/>
      <c r="CS196" s="659" t="s">
        <v>480</v>
      </c>
      <c r="CT196" s="108"/>
      <c r="CU196" s="109" t="s">
        <v>481</v>
      </c>
      <c r="CV196" s="534"/>
      <c r="CW196" s="638" t="s">
        <v>482</v>
      </c>
      <c r="CX196" s="457"/>
      <c r="CY196" s="638"/>
      <c r="CZ196" s="465"/>
      <c r="DA196" s="465"/>
      <c r="DB196" s="465"/>
      <c r="DC196" s="10"/>
      <c r="DD196" s="456"/>
      <c r="DE196" s="456"/>
      <c r="DF196" s="456"/>
      <c r="DG196" s="456"/>
      <c r="DH196" s="10"/>
      <c r="DI196" s="10"/>
      <c r="DJ196" s="10"/>
      <c r="DK196" s="10"/>
      <c r="DL196" s="10"/>
      <c r="DM196" s="456"/>
      <c r="DN196" s="456"/>
      <c r="DO196" s="456"/>
      <c r="DP196" s="456"/>
      <c r="DQ196" s="16"/>
      <c r="DR196" s="456"/>
      <c r="DS196" s="456"/>
      <c r="DT196" s="456"/>
      <c r="DU196" s="456"/>
      <c r="DV196" s="456"/>
      <c r="DW196" s="456"/>
      <c r="DX196" s="456"/>
      <c r="DY196" s="456"/>
      <c r="DZ196" s="86"/>
      <c r="EA196" s="86"/>
      <c r="EB196" s="656"/>
      <c r="EC196" s="656"/>
      <c r="ED196" s="10"/>
      <c r="EE196" s="456"/>
      <c r="EF196" s="456"/>
      <c r="EG196" s="456"/>
      <c r="EH196" s="456"/>
      <c r="EI196" s="456"/>
      <c r="EJ196" s="456"/>
      <c r="EK196" s="456"/>
      <c r="EL196" s="457"/>
      <c r="EM196" s="457"/>
      <c r="EN196" s="456"/>
      <c r="EO196" s="456"/>
      <c r="EP196" s="456"/>
      <c r="EQ196" s="456"/>
      <c r="ER196" s="456"/>
      <c r="ES196" s="456"/>
      <c r="ET196" s="456"/>
      <c r="EU196" s="456"/>
      <c r="EV196" s="456"/>
      <c r="EW196" s="456"/>
      <c r="EX196" s="456"/>
      <c r="EY196" s="456"/>
      <c r="EZ196" s="456"/>
      <c r="FA196" s="378"/>
      <c r="FB196" s="456"/>
      <c r="FC196" s="456"/>
      <c r="FD196" s="456"/>
      <c r="FE196" s="456"/>
      <c r="FF196" s="456"/>
      <c r="FG196" s="456"/>
      <c r="FH196" s="456"/>
      <c r="FI196" s="456"/>
      <c r="FJ196" s="456"/>
      <c r="FK196" s="456"/>
      <c r="FL196" s="456"/>
      <c r="FM196" s="456"/>
      <c r="FN196" s="456"/>
      <c r="FO196" s="456"/>
      <c r="FP196" s="456"/>
      <c r="FQ196" s="456"/>
      <c r="FR196" s="456"/>
      <c r="FS196" s="456"/>
      <c r="FT196" s="456"/>
      <c r="FU196" s="456"/>
      <c r="FV196" s="456"/>
      <c r="FW196" s="456"/>
      <c r="FX196" s="456"/>
      <c r="FY196" s="456"/>
      <c r="FZ196" s="456"/>
      <c r="GA196" s="456"/>
      <c r="GB196" s="456"/>
      <c r="GC196" s="456"/>
      <c r="GD196" s="456"/>
      <c r="GE196" s="456"/>
      <c r="GF196" s="456"/>
      <c r="GG196" s="456"/>
      <c r="GH196" s="456"/>
      <c r="GI196" s="456"/>
      <c r="GJ196" s="457"/>
      <c r="GK196" s="457"/>
      <c r="GL196" s="456"/>
      <c r="GM196" s="456"/>
      <c r="GN196" s="456"/>
      <c r="GO196" s="456"/>
      <c r="GP196" s="456"/>
      <c r="GQ196" s="456"/>
      <c r="GR196" s="456"/>
      <c r="GS196" s="456"/>
      <c r="GT196" s="456"/>
      <c r="GU196" s="456"/>
      <c r="GV196" s="456"/>
      <c r="GW196" s="16"/>
      <c r="GX196" s="456"/>
      <c r="GY196" s="456"/>
      <c r="GZ196" s="456"/>
      <c r="HA196" s="456"/>
      <c r="HB196" s="456"/>
      <c r="HC196" s="456"/>
      <c r="HD196" s="456"/>
      <c r="HE196" s="456"/>
      <c r="HF196" s="456"/>
      <c r="HG196" s="456"/>
      <c r="HH196" s="456"/>
      <c r="HI196" s="456"/>
      <c r="HJ196" s="456"/>
      <c r="HK196" s="456"/>
      <c r="HL196" s="456"/>
      <c r="HM196" s="456"/>
      <c r="HN196" s="456"/>
      <c r="HO196" s="456"/>
      <c r="HP196" s="456"/>
      <c r="HQ196" s="456"/>
      <c r="HR196" s="456"/>
      <c r="HS196" s="456"/>
      <c r="HT196" s="456"/>
      <c r="HU196" s="456"/>
      <c r="HV196" s="456"/>
      <c r="HW196" s="456"/>
      <c r="HX196" s="456"/>
      <c r="HY196" s="456"/>
      <c r="HZ196" s="456"/>
      <c r="IA196" s="456"/>
      <c r="IB196" s="456"/>
      <c r="IC196" s="456"/>
      <c r="ID196" s="456"/>
      <c r="IE196" s="456"/>
      <c r="IF196" s="456"/>
      <c r="IG196" s="456"/>
      <c r="IH196" s="456"/>
      <c r="II196" s="456"/>
      <c r="IJ196" s="456"/>
      <c r="IK196" s="456"/>
      <c r="IL196" s="456"/>
      <c r="IM196" s="456"/>
      <c r="IN196" s="457"/>
      <c r="IO196" s="457"/>
      <c r="IP196" s="456"/>
      <c r="IQ196" s="456"/>
      <c r="IR196" s="456"/>
      <c r="IS196" s="456"/>
      <c r="IT196" s="456"/>
      <c r="IU196" s="456"/>
      <c r="IV196" s="456"/>
      <c r="IW196" s="456"/>
      <c r="IX196" s="456"/>
      <c r="IY196" s="456"/>
      <c r="IZ196" s="456"/>
      <c r="JA196" s="456"/>
      <c r="JB196" s="456"/>
      <c r="JC196" s="456"/>
      <c r="JD196" s="456"/>
      <c r="JE196" s="456"/>
      <c r="JF196" s="456"/>
      <c r="JG196" s="456"/>
      <c r="JH196" s="456"/>
      <c r="JI196" s="456"/>
      <c r="JJ196" s="456"/>
      <c r="JK196" s="456"/>
      <c r="JL196" s="456"/>
      <c r="JM196" s="456"/>
      <c r="JN196" s="456"/>
      <c r="JO196" s="456"/>
      <c r="JP196" s="456"/>
      <c r="JQ196" s="456"/>
      <c r="JR196" s="456"/>
      <c r="JS196" s="456"/>
      <c r="JT196" s="456"/>
      <c r="JU196" s="456"/>
      <c r="JV196" s="456"/>
      <c r="JW196" s="456"/>
      <c r="JX196" s="456"/>
      <c r="JY196" s="456"/>
      <c r="JZ196" s="456"/>
      <c r="KA196" s="456"/>
      <c r="KB196" s="456"/>
      <c r="KC196" s="456"/>
      <c r="KD196" s="456"/>
      <c r="KE196" s="456"/>
      <c r="KF196" s="456"/>
    </row>
    <row r="197" spans="1:292" ht="70" customHeight="1">
      <c r="A197" s="371">
        <v>750192</v>
      </c>
      <c r="B197" s="282"/>
      <c r="C197" s="282"/>
      <c r="D197" s="282"/>
      <c r="E197" s="282"/>
      <c r="F197" s="386">
        <v>46093</v>
      </c>
      <c r="G197" s="577" t="s">
        <v>483</v>
      </c>
      <c r="H197" s="577"/>
      <c r="I197" s="111" t="s">
        <v>724</v>
      </c>
      <c r="J197" s="160"/>
      <c r="K197" s="236"/>
      <c r="L197" s="529"/>
      <c r="M197" s="33"/>
      <c r="N197" s="42"/>
      <c r="O197" s="33"/>
      <c r="P197" s="526">
        <v>46123</v>
      </c>
      <c r="Q197" s="637">
        <v>46165</v>
      </c>
      <c r="R197" s="526">
        <v>46186</v>
      </c>
      <c r="S197" s="526"/>
      <c r="T197" s="585">
        <v>46200</v>
      </c>
      <c r="U197" s="372"/>
      <c r="V197" s="277"/>
      <c r="W197" s="211"/>
      <c r="X197" s="456"/>
      <c r="Y197" s="456"/>
      <c r="Z197" s="465"/>
      <c r="AA197" s="465"/>
      <c r="AB197" s="465"/>
      <c r="AC197" s="11"/>
      <c r="AD197" s="465"/>
      <c r="AE197" s="456"/>
      <c r="AF197" s="10"/>
      <c r="AG197" s="456"/>
      <c r="AH197" s="456"/>
      <c r="AI197" s="456"/>
      <c r="AJ197" s="457"/>
      <c r="AK197" s="457"/>
      <c r="AL197" s="456"/>
      <c r="AM197" s="456"/>
      <c r="AN197" s="456"/>
      <c r="AO197" s="456"/>
      <c r="AP197" s="86"/>
      <c r="AQ197" s="86"/>
      <c r="AR197" s="656"/>
      <c r="AS197" s="656"/>
      <c r="AT197" s="86"/>
      <c r="AU197" s="86"/>
      <c r="AV197" s="86"/>
      <c r="AW197" s="86"/>
      <c r="AX197" s="11"/>
      <c r="AY197" s="465"/>
      <c r="AZ197" s="465"/>
      <c r="BA197" s="465"/>
      <c r="BB197" s="465"/>
      <c r="BC197" s="465"/>
      <c r="BD197" s="465"/>
      <c r="BE197" s="465"/>
      <c r="BF197" s="465"/>
      <c r="BG197" s="465"/>
      <c r="BH197" s="465"/>
      <c r="BI197" s="465"/>
      <c r="BJ197" s="465"/>
      <c r="BK197" s="465"/>
      <c r="BL197" s="465"/>
      <c r="BM197" s="465"/>
      <c r="BN197" s="465"/>
      <c r="BO197" s="377"/>
      <c r="BP197" s="465"/>
      <c r="BQ197" s="465"/>
      <c r="BR197" s="465"/>
      <c r="BS197" s="465"/>
      <c r="BT197" s="465"/>
      <c r="BU197" s="465"/>
      <c r="BV197" s="465"/>
      <c r="BW197" s="465"/>
      <c r="BX197" s="465"/>
      <c r="BY197" s="465"/>
      <c r="BZ197" s="465"/>
      <c r="CA197" s="465"/>
      <c r="CB197" s="465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456"/>
      <c r="CM197" s="457"/>
      <c r="CN197" s="457"/>
      <c r="CO197" s="25"/>
      <c r="CP197" s="25"/>
      <c r="CQ197" s="456"/>
      <c r="CR197" s="666"/>
      <c r="CS197" s="456"/>
      <c r="CT197" s="103"/>
      <c r="CU197" s="505" t="s">
        <v>478</v>
      </c>
      <c r="CV197" s="1"/>
      <c r="CW197" s="1"/>
      <c r="CX197" s="457"/>
      <c r="CY197" s="657" t="s">
        <v>479</v>
      </c>
      <c r="CZ197" s="658"/>
      <c r="DA197" s="659" t="s">
        <v>480</v>
      </c>
      <c r="DB197" s="108"/>
      <c r="DC197" s="109" t="s">
        <v>481</v>
      </c>
      <c r="DD197" s="534"/>
      <c r="DE197" s="638" t="s">
        <v>482</v>
      </c>
      <c r="DF197" s="638"/>
      <c r="DG197" s="456"/>
      <c r="DH197" s="10"/>
      <c r="DI197" s="10"/>
      <c r="DJ197" s="10"/>
      <c r="DK197" s="10"/>
      <c r="DL197" s="10"/>
      <c r="DM197" s="456"/>
      <c r="DN197" s="456"/>
      <c r="DO197" s="456"/>
      <c r="DP197" s="456"/>
      <c r="DQ197" s="16"/>
      <c r="DR197" s="456"/>
      <c r="DS197" s="456"/>
      <c r="DT197" s="456"/>
      <c r="DU197" s="456"/>
      <c r="DV197" s="456"/>
      <c r="DW197" s="456"/>
      <c r="DX197" s="456"/>
      <c r="DY197" s="456"/>
      <c r="DZ197" s="86"/>
      <c r="EA197" s="86"/>
      <c r="EB197" s="656"/>
      <c r="EC197" s="656"/>
      <c r="ED197" s="10"/>
      <c r="EE197" s="456"/>
      <c r="EF197" s="456"/>
      <c r="EG197" s="456"/>
      <c r="EH197" s="456"/>
      <c r="EI197" s="456"/>
      <c r="EJ197" s="456"/>
      <c r="EK197" s="456"/>
      <c r="EL197" s="457"/>
      <c r="EM197" s="457"/>
      <c r="EN197" s="456"/>
      <c r="EO197" s="456"/>
      <c r="EP197" s="456"/>
      <c r="EQ197" s="456"/>
      <c r="ER197" s="456"/>
      <c r="ES197" s="456"/>
      <c r="ET197" s="456"/>
      <c r="EU197" s="456"/>
      <c r="EV197" s="456"/>
      <c r="EW197" s="456"/>
      <c r="EX197" s="456"/>
      <c r="EY197" s="456"/>
      <c r="EZ197" s="456"/>
      <c r="FA197" s="378"/>
      <c r="FB197" s="456"/>
      <c r="FC197" s="456"/>
      <c r="FD197" s="456"/>
      <c r="FE197" s="456"/>
      <c r="FF197" s="456"/>
      <c r="FG197" s="456"/>
      <c r="FH197" s="456"/>
      <c r="FI197" s="456"/>
      <c r="FJ197" s="456"/>
      <c r="FK197" s="456"/>
      <c r="FL197" s="456"/>
      <c r="FM197" s="456"/>
      <c r="FN197" s="456"/>
      <c r="FO197" s="456"/>
      <c r="FP197" s="456"/>
      <c r="FQ197" s="456"/>
      <c r="FR197" s="456"/>
      <c r="FS197" s="456"/>
      <c r="FT197" s="456"/>
      <c r="FU197" s="456"/>
      <c r="FV197" s="456"/>
      <c r="FW197" s="456"/>
      <c r="FX197" s="456"/>
      <c r="FY197" s="456"/>
      <c r="FZ197" s="456"/>
      <c r="GA197" s="456"/>
      <c r="GB197" s="456"/>
      <c r="GC197" s="456"/>
      <c r="GD197" s="456"/>
      <c r="GE197" s="456"/>
      <c r="GF197" s="456"/>
      <c r="GG197" s="456"/>
      <c r="GH197" s="456"/>
      <c r="GI197" s="456"/>
      <c r="GJ197" s="457"/>
      <c r="GK197" s="457"/>
      <c r="GL197" s="456"/>
      <c r="GM197" s="456"/>
      <c r="GN197" s="456"/>
      <c r="GO197" s="456"/>
      <c r="GP197" s="456"/>
      <c r="GQ197" s="456"/>
      <c r="GR197" s="456"/>
      <c r="GS197" s="456"/>
      <c r="GT197" s="456"/>
      <c r="GU197" s="456"/>
      <c r="GV197" s="456"/>
      <c r="GW197" s="16"/>
      <c r="GX197" s="456"/>
      <c r="GY197" s="456"/>
      <c r="GZ197" s="456"/>
      <c r="HA197" s="456"/>
      <c r="HB197" s="456"/>
      <c r="HC197" s="456"/>
      <c r="HD197" s="456"/>
      <c r="HE197" s="456"/>
      <c r="HF197" s="456"/>
      <c r="HG197" s="456"/>
      <c r="HH197" s="456"/>
      <c r="HI197" s="456"/>
      <c r="HJ197" s="456"/>
      <c r="HK197" s="456"/>
      <c r="HL197" s="456"/>
      <c r="HM197" s="456"/>
      <c r="HN197" s="456"/>
      <c r="HO197" s="456"/>
      <c r="HP197" s="456"/>
      <c r="HQ197" s="456"/>
      <c r="HR197" s="456"/>
      <c r="HS197" s="456"/>
      <c r="HT197" s="456"/>
      <c r="HU197" s="456"/>
      <c r="HV197" s="456"/>
      <c r="HW197" s="456"/>
      <c r="HX197" s="456"/>
      <c r="HY197" s="456"/>
      <c r="HZ197" s="456"/>
      <c r="IA197" s="456"/>
      <c r="IB197" s="456"/>
      <c r="IC197" s="456"/>
      <c r="ID197" s="456"/>
      <c r="IE197" s="456"/>
      <c r="IF197" s="456"/>
      <c r="IG197" s="456"/>
      <c r="IH197" s="456"/>
      <c r="II197" s="456"/>
      <c r="IJ197" s="456"/>
      <c r="IK197" s="456"/>
      <c r="IL197" s="456"/>
      <c r="IM197" s="456"/>
      <c r="IN197" s="457"/>
      <c r="IO197" s="457"/>
      <c r="IP197" s="456"/>
      <c r="IQ197" s="456"/>
      <c r="IR197" s="456"/>
      <c r="IS197" s="456"/>
      <c r="IT197" s="456"/>
      <c r="IU197" s="456"/>
      <c r="IV197" s="456"/>
      <c r="IW197" s="456"/>
      <c r="IX197" s="456"/>
      <c r="IY197" s="456"/>
      <c r="IZ197" s="456"/>
      <c r="JA197" s="456"/>
      <c r="JB197" s="456"/>
      <c r="JC197" s="456"/>
      <c r="JD197" s="456"/>
      <c r="JE197" s="456"/>
      <c r="JF197" s="456"/>
      <c r="JG197" s="456"/>
      <c r="JH197" s="456"/>
      <c r="JI197" s="456"/>
      <c r="JJ197" s="456"/>
      <c r="JK197" s="456"/>
      <c r="JL197" s="456"/>
      <c r="JM197" s="456"/>
      <c r="JN197" s="456"/>
      <c r="JO197" s="456"/>
      <c r="JP197" s="456"/>
      <c r="JQ197" s="456"/>
      <c r="JR197" s="456"/>
      <c r="JS197" s="456"/>
      <c r="JT197" s="456"/>
      <c r="JU197" s="456"/>
      <c r="JV197" s="456"/>
      <c r="JW197" s="456"/>
      <c r="JX197" s="456"/>
      <c r="JY197" s="456"/>
      <c r="JZ197" s="456"/>
      <c r="KA197" s="456"/>
      <c r="KB197" s="456"/>
      <c r="KC197" s="456"/>
      <c r="KD197" s="456"/>
      <c r="KE197" s="456"/>
      <c r="KF197" s="456"/>
    </row>
    <row r="198" spans="1:292" ht="70" customHeight="1">
      <c r="A198" s="371">
        <v>750193</v>
      </c>
      <c r="B198" s="282"/>
      <c r="C198" s="282"/>
      <c r="D198" s="282"/>
      <c r="E198" s="282"/>
      <c r="F198" s="335" t="s">
        <v>704</v>
      </c>
      <c r="G198" s="577" t="s">
        <v>483</v>
      </c>
      <c r="H198" s="577"/>
      <c r="I198" s="104" t="s">
        <v>54</v>
      </c>
      <c r="J198" s="156" t="s">
        <v>115</v>
      </c>
      <c r="K198" s="236"/>
      <c r="L198" s="529"/>
      <c r="M198" s="33"/>
      <c r="N198" s="42"/>
      <c r="O198" s="33"/>
      <c r="P198" s="526">
        <v>46151</v>
      </c>
      <c r="Q198" s="637"/>
      <c r="R198" s="526"/>
      <c r="S198" s="526"/>
      <c r="T198" s="585">
        <v>46221</v>
      </c>
      <c r="U198" s="372"/>
      <c r="V198" s="277"/>
      <c r="W198" s="211"/>
      <c r="X198" s="456"/>
      <c r="Y198" s="456"/>
      <c r="Z198" s="465"/>
      <c r="AA198" s="465"/>
      <c r="AB198" s="465"/>
      <c r="AC198" s="11"/>
      <c r="AD198" s="465"/>
      <c r="AE198" s="456"/>
      <c r="AF198" s="10"/>
      <c r="AG198" s="456"/>
      <c r="AH198" s="456"/>
      <c r="AI198" s="456"/>
      <c r="AJ198" s="457"/>
      <c r="AK198" s="457"/>
      <c r="AL198" s="456"/>
      <c r="AM198" s="456"/>
      <c r="AN198" s="456"/>
      <c r="AO198" s="456"/>
      <c r="AP198" s="86"/>
      <c r="AQ198" s="86"/>
      <c r="AR198" s="656"/>
      <c r="AS198" s="656"/>
      <c r="AT198" s="86"/>
      <c r="AU198" s="86"/>
      <c r="AV198" s="86"/>
      <c r="AW198" s="86"/>
      <c r="AX198" s="11"/>
      <c r="AY198" s="465"/>
      <c r="AZ198" s="465"/>
      <c r="BA198" s="465"/>
      <c r="BB198" s="465"/>
      <c r="BC198" s="465"/>
      <c r="BD198" s="465"/>
      <c r="BE198" s="465"/>
      <c r="BF198" s="465"/>
      <c r="BG198" s="465"/>
      <c r="BH198" s="465"/>
      <c r="BI198" s="465"/>
      <c r="BJ198" s="465"/>
      <c r="BK198" s="465"/>
      <c r="BL198" s="465"/>
      <c r="BM198" s="465"/>
      <c r="BN198" s="465"/>
      <c r="BO198" s="377"/>
      <c r="BP198" s="465"/>
      <c r="BQ198" s="465"/>
      <c r="BR198" s="465"/>
      <c r="BS198" s="465"/>
      <c r="BT198" s="465"/>
      <c r="BU198" s="465"/>
      <c r="BV198" s="465"/>
      <c r="BW198" s="465"/>
      <c r="BX198" s="465"/>
      <c r="BY198" s="465"/>
      <c r="BZ198" s="465"/>
      <c r="CA198" s="465"/>
      <c r="CB198" s="465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456"/>
      <c r="CM198" s="457"/>
      <c r="CN198" s="457"/>
      <c r="CO198" s="25"/>
      <c r="CP198" s="25"/>
      <c r="CQ198" s="456"/>
      <c r="CR198" s="666"/>
      <c r="CS198" s="456"/>
      <c r="CT198" s="103"/>
      <c r="CU198" s="456"/>
      <c r="CV198" s="25"/>
      <c r="CW198" s="25"/>
      <c r="CX198" s="457"/>
      <c r="CY198" s="505" t="s">
        <v>478</v>
      </c>
      <c r="CZ198" s="1"/>
      <c r="DA198" s="1"/>
      <c r="DB198" s="657" t="s">
        <v>479</v>
      </c>
      <c r="DC198" s="658"/>
      <c r="DD198" s="659" t="s">
        <v>480</v>
      </c>
      <c r="DE198" s="108"/>
      <c r="DF198" s="109" t="s">
        <v>481</v>
      </c>
      <c r="DG198" s="534"/>
      <c r="DH198" s="638" t="s">
        <v>482</v>
      </c>
      <c r="DI198" s="638"/>
      <c r="DJ198" s="456"/>
      <c r="DK198" s="456"/>
      <c r="DL198" s="456"/>
      <c r="DM198" s="456"/>
      <c r="DN198" s="456"/>
      <c r="DO198" s="456"/>
      <c r="DP198" s="456"/>
      <c r="DQ198" s="16"/>
      <c r="DR198" s="456"/>
      <c r="DS198" s="456"/>
      <c r="DT198" s="456"/>
      <c r="DU198" s="456"/>
      <c r="DV198" s="456"/>
      <c r="DW198" s="456"/>
      <c r="DX198" s="456"/>
      <c r="DY198" s="456"/>
      <c r="DZ198" s="86"/>
      <c r="EA198" s="86"/>
      <c r="EB198" s="656"/>
      <c r="EC198" s="656"/>
      <c r="ED198" s="10"/>
      <c r="EE198" s="456"/>
      <c r="EF198" s="456"/>
      <c r="EG198" s="456"/>
      <c r="EH198" s="456"/>
      <c r="EI198" s="456"/>
      <c r="EJ198" s="456"/>
      <c r="EK198" s="456"/>
      <c r="EL198" s="457"/>
      <c r="EM198" s="457"/>
      <c r="EN198" s="456"/>
      <c r="EO198" s="456"/>
      <c r="EP198" s="456"/>
      <c r="EQ198" s="456"/>
      <c r="ER198" s="456"/>
      <c r="ES198" s="456"/>
      <c r="ET198" s="456"/>
      <c r="EU198" s="456"/>
      <c r="EV198" s="456"/>
      <c r="EW198" s="456"/>
      <c r="EX198" s="456"/>
      <c r="EY198" s="456"/>
      <c r="EZ198" s="456"/>
      <c r="FA198" s="378"/>
      <c r="FB198" s="456"/>
      <c r="FC198" s="456"/>
      <c r="FD198" s="456"/>
      <c r="FE198" s="456"/>
      <c r="FF198" s="456"/>
      <c r="FG198" s="456"/>
      <c r="FH198" s="456"/>
      <c r="FI198" s="456"/>
      <c r="FJ198" s="456"/>
      <c r="FK198" s="456"/>
      <c r="FL198" s="456"/>
      <c r="FM198" s="456"/>
      <c r="FN198" s="456"/>
      <c r="FO198" s="456"/>
      <c r="FP198" s="456"/>
      <c r="FQ198" s="456"/>
      <c r="FR198" s="456"/>
      <c r="FS198" s="456"/>
      <c r="FT198" s="456"/>
      <c r="FU198" s="456"/>
      <c r="FV198" s="456"/>
      <c r="FW198" s="456"/>
      <c r="FX198" s="456"/>
      <c r="FY198" s="456"/>
      <c r="FZ198" s="456"/>
      <c r="GA198" s="456"/>
      <c r="GB198" s="456"/>
      <c r="GC198" s="456"/>
      <c r="GD198" s="456"/>
      <c r="GE198" s="456"/>
      <c r="GF198" s="456"/>
      <c r="GG198" s="456"/>
      <c r="GH198" s="456"/>
      <c r="GI198" s="456"/>
      <c r="GJ198" s="457"/>
      <c r="GK198" s="457"/>
      <c r="GL198" s="456"/>
      <c r="GM198" s="456"/>
      <c r="GN198" s="456"/>
      <c r="GO198" s="456"/>
      <c r="GP198" s="456"/>
      <c r="GQ198" s="456"/>
      <c r="GR198" s="456"/>
      <c r="GS198" s="456"/>
      <c r="GT198" s="456"/>
      <c r="GU198" s="456"/>
      <c r="GV198" s="456"/>
      <c r="GW198" s="16"/>
      <c r="GX198" s="456"/>
      <c r="GY198" s="456"/>
      <c r="GZ198" s="456"/>
      <c r="HA198" s="456"/>
      <c r="HB198" s="456"/>
      <c r="HC198" s="456"/>
      <c r="HD198" s="456"/>
      <c r="HE198" s="456"/>
      <c r="HF198" s="456"/>
      <c r="HG198" s="456"/>
      <c r="HH198" s="456"/>
      <c r="HI198" s="456"/>
      <c r="HJ198" s="456"/>
      <c r="HK198" s="456"/>
      <c r="HL198" s="456"/>
      <c r="HM198" s="456"/>
      <c r="HN198" s="456"/>
      <c r="HO198" s="456"/>
      <c r="HP198" s="456"/>
      <c r="HQ198" s="456"/>
      <c r="HR198" s="456"/>
      <c r="HS198" s="456"/>
      <c r="HT198" s="456"/>
      <c r="HU198" s="456"/>
      <c r="HV198" s="456"/>
      <c r="HW198" s="456"/>
      <c r="HX198" s="456"/>
      <c r="HY198" s="456"/>
      <c r="HZ198" s="456"/>
      <c r="IA198" s="456"/>
      <c r="IB198" s="456"/>
      <c r="IC198" s="456"/>
      <c r="ID198" s="456"/>
      <c r="IE198" s="456"/>
      <c r="IF198" s="456"/>
      <c r="IG198" s="456"/>
      <c r="IH198" s="456"/>
      <c r="II198" s="456"/>
      <c r="IJ198" s="456"/>
      <c r="IK198" s="456"/>
      <c r="IL198" s="456"/>
      <c r="IM198" s="456"/>
      <c r="IN198" s="457"/>
      <c r="IO198" s="457"/>
      <c r="IP198" s="456"/>
      <c r="IQ198" s="456"/>
      <c r="IR198" s="456"/>
      <c r="IS198" s="456"/>
      <c r="IT198" s="456"/>
      <c r="IU198" s="456"/>
      <c r="IV198" s="456"/>
      <c r="IW198" s="456"/>
      <c r="IX198" s="456"/>
      <c r="IY198" s="456"/>
      <c r="IZ198" s="456"/>
      <c r="JA198" s="456"/>
      <c r="JB198" s="456"/>
      <c r="JC198" s="456"/>
      <c r="JD198" s="456"/>
      <c r="JE198" s="456"/>
      <c r="JF198" s="456"/>
      <c r="JG198" s="456"/>
      <c r="JH198" s="456"/>
      <c r="JI198" s="456"/>
      <c r="JJ198" s="456"/>
      <c r="JK198" s="456"/>
      <c r="JL198" s="456"/>
      <c r="JM198" s="456"/>
      <c r="JN198" s="456"/>
      <c r="JO198" s="456"/>
      <c r="JP198" s="456"/>
      <c r="JQ198" s="456"/>
      <c r="JR198" s="456"/>
      <c r="JS198" s="456"/>
      <c r="JT198" s="456"/>
      <c r="JU198" s="456"/>
      <c r="JV198" s="456"/>
      <c r="JW198" s="456"/>
      <c r="JX198" s="456"/>
      <c r="JY198" s="456"/>
      <c r="JZ198" s="456"/>
      <c r="KA198" s="456"/>
      <c r="KB198" s="456"/>
      <c r="KC198" s="456"/>
      <c r="KD198" s="456"/>
      <c r="KE198" s="456"/>
      <c r="KF198" s="456"/>
    </row>
    <row r="199" spans="1:292" ht="70" customHeight="1">
      <c r="A199" s="371">
        <v>750194</v>
      </c>
      <c r="B199" s="282"/>
      <c r="C199" s="282"/>
      <c r="D199" s="282"/>
      <c r="E199" s="282"/>
      <c r="F199" s="335" t="s">
        <v>704</v>
      </c>
      <c r="G199" s="577" t="s">
        <v>483</v>
      </c>
      <c r="H199" s="577"/>
      <c r="I199" s="104" t="s">
        <v>54</v>
      </c>
      <c r="J199" s="156" t="s">
        <v>115</v>
      </c>
      <c r="K199" s="236"/>
      <c r="L199" s="529"/>
      <c r="M199" s="33"/>
      <c r="N199" s="42"/>
      <c r="O199" s="33"/>
      <c r="P199" s="526">
        <v>46172</v>
      </c>
      <c r="Q199" s="637"/>
      <c r="R199" s="526"/>
      <c r="S199" s="526"/>
      <c r="T199" s="585">
        <v>46242</v>
      </c>
      <c r="U199" s="372"/>
      <c r="V199" s="277"/>
      <c r="W199" s="211"/>
      <c r="X199" s="456"/>
      <c r="Y199" s="456"/>
      <c r="Z199" s="465"/>
      <c r="AA199" s="465"/>
      <c r="AB199" s="465"/>
      <c r="AC199" s="11"/>
      <c r="AD199" s="465"/>
      <c r="AE199" s="456"/>
      <c r="AF199" s="10"/>
      <c r="AG199" s="456"/>
      <c r="AH199" s="456"/>
      <c r="AI199" s="456"/>
      <c r="AJ199" s="457"/>
      <c r="AK199" s="457"/>
      <c r="AL199" s="456"/>
      <c r="AM199" s="456"/>
      <c r="AN199" s="456"/>
      <c r="AO199" s="456"/>
      <c r="AP199" s="86"/>
      <c r="AQ199" s="86"/>
      <c r="AR199" s="656"/>
      <c r="AS199" s="656"/>
      <c r="AT199" s="86"/>
      <c r="AU199" s="86"/>
      <c r="AV199" s="86"/>
      <c r="AW199" s="86"/>
      <c r="AX199" s="11"/>
      <c r="AY199" s="465"/>
      <c r="AZ199" s="465"/>
      <c r="BA199" s="465"/>
      <c r="BB199" s="465"/>
      <c r="BC199" s="465"/>
      <c r="BD199" s="465"/>
      <c r="BE199" s="465"/>
      <c r="BF199" s="465"/>
      <c r="BG199" s="465"/>
      <c r="BH199" s="465"/>
      <c r="BI199" s="465"/>
      <c r="BJ199" s="465"/>
      <c r="BK199" s="465"/>
      <c r="BL199" s="465"/>
      <c r="BM199" s="465"/>
      <c r="BN199" s="465"/>
      <c r="BO199" s="377"/>
      <c r="BP199" s="465"/>
      <c r="BQ199" s="465"/>
      <c r="BR199" s="465"/>
      <c r="BS199" s="465"/>
      <c r="BT199" s="465"/>
      <c r="BU199" s="465"/>
      <c r="BV199" s="465"/>
      <c r="BW199" s="465"/>
      <c r="BX199" s="465"/>
      <c r="BY199" s="465"/>
      <c r="BZ199" s="465"/>
      <c r="CA199" s="465"/>
      <c r="CB199" s="465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456"/>
      <c r="CM199" s="457"/>
      <c r="CN199" s="457"/>
      <c r="CO199" s="25"/>
      <c r="CP199" s="25"/>
      <c r="CQ199" s="456"/>
      <c r="CR199" s="666"/>
      <c r="CS199" s="456"/>
      <c r="CT199" s="103"/>
      <c r="CU199" s="456"/>
      <c r="CV199" s="25"/>
      <c r="CW199" s="25"/>
      <c r="CX199" s="457"/>
      <c r="CY199" s="465"/>
      <c r="CZ199" s="465"/>
      <c r="DA199" s="456"/>
      <c r="DB199" s="505" t="s">
        <v>478</v>
      </c>
      <c r="DC199" s="1"/>
      <c r="DD199" s="1"/>
      <c r="DE199" s="657" t="s">
        <v>479</v>
      </c>
      <c r="DF199" s="658"/>
      <c r="DG199" s="659" t="s">
        <v>480</v>
      </c>
      <c r="DH199" s="108"/>
      <c r="DI199" s="109" t="s">
        <v>481</v>
      </c>
      <c r="DJ199" s="534"/>
      <c r="DK199" s="638" t="s">
        <v>482</v>
      </c>
      <c r="DL199" s="638"/>
      <c r="DM199" s="456"/>
      <c r="DN199" s="456"/>
      <c r="DO199" s="456"/>
      <c r="DP199" s="456"/>
      <c r="DQ199" s="16"/>
      <c r="DR199" s="456"/>
      <c r="DS199" s="456"/>
      <c r="DT199" s="456"/>
      <c r="DU199" s="456"/>
      <c r="DV199" s="456"/>
      <c r="DW199" s="456"/>
      <c r="DX199" s="456"/>
      <c r="DY199" s="456"/>
      <c r="DZ199" s="86"/>
      <c r="EA199" s="86"/>
      <c r="EB199" s="656"/>
      <c r="EC199" s="656"/>
      <c r="ED199" s="10"/>
      <c r="EE199" s="456"/>
      <c r="EF199" s="456"/>
      <c r="EG199" s="456"/>
      <c r="EH199" s="456"/>
      <c r="EI199" s="456"/>
      <c r="EJ199" s="456"/>
      <c r="EK199" s="456"/>
      <c r="EL199" s="457"/>
      <c r="EM199" s="457"/>
      <c r="EN199" s="456"/>
      <c r="EO199" s="456"/>
      <c r="EP199" s="456"/>
      <c r="EQ199" s="456"/>
      <c r="ER199" s="456"/>
      <c r="ES199" s="456"/>
      <c r="ET199" s="456"/>
      <c r="EU199" s="456"/>
      <c r="EV199" s="456"/>
      <c r="EW199" s="456"/>
      <c r="EX199" s="456"/>
      <c r="EY199" s="456"/>
      <c r="EZ199" s="456"/>
      <c r="FA199" s="378"/>
      <c r="FB199" s="456"/>
      <c r="FC199" s="456"/>
      <c r="FD199" s="456"/>
      <c r="FE199" s="456"/>
      <c r="FF199" s="456"/>
      <c r="FG199" s="456"/>
      <c r="FH199" s="456"/>
      <c r="FI199" s="456"/>
      <c r="FJ199" s="456"/>
      <c r="FK199" s="456"/>
      <c r="FL199" s="456"/>
      <c r="FM199" s="456"/>
      <c r="FN199" s="456"/>
      <c r="FO199" s="456"/>
      <c r="FP199" s="456"/>
      <c r="FQ199" s="456"/>
      <c r="FR199" s="456"/>
      <c r="FS199" s="456"/>
      <c r="FT199" s="456"/>
      <c r="FU199" s="456"/>
      <c r="FV199" s="456"/>
      <c r="FW199" s="456"/>
      <c r="FX199" s="456"/>
      <c r="FY199" s="456"/>
      <c r="FZ199" s="456"/>
      <c r="GA199" s="456"/>
      <c r="GB199" s="456"/>
      <c r="GC199" s="456"/>
      <c r="GD199" s="456"/>
      <c r="GE199" s="456"/>
      <c r="GF199" s="456"/>
      <c r="GG199" s="456"/>
      <c r="GH199" s="456"/>
      <c r="GI199" s="456"/>
      <c r="GJ199" s="457"/>
      <c r="GK199" s="457"/>
      <c r="GL199" s="456"/>
      <c r="GM199" s="456"/>
      <c r="GN199" s="456"/>
      <c r="GO199" s="456"/>
      <c r="GP199" s="456"/>
      <c r="GQ199" s="456"/>
      <c r="GR199" s="456"/>
      <c r="GS199" s="456"/>
      <c r="GT199" s="456"/>
      <c r="GU199" s="456"/>
      <c r="GV199" s="456"/>
      <c r="GW199" s="16"/>
      <c r="GX199" s="456"/>
      <c r="GY199" s="456"/>
      <c r="GZ199" s="456"/>
      <c r="HA199" s="456"/>
      <c r="HB199" s="456"/>
      <c r="HC199" s="456"/>
      <c r="HD199" s="456"/>
      <c r="HE199" s="456"/>
      <c r="HF199" s="456"/>
      <c r="HG199" s="456"/>
      <c r="HH199" s="456"/>
      <c r="HI199" s="456"/>
      <c r="HJ199" s="456"/>
      <c r="HK199" s="456"/>
      <c r="HL199" s="456"/>
      <c r="HM199" s="456"/>
      <c r="HN199" s="456"/>
      <c r="HO199" s="456"/>
      <c r="HP199" s="456"/>
      <c r="HQ199" s="456"/>
      <c r="HR199" s="456"/>
      <c r="HS199" s="456"/>
      <c r="HT199" s="456"/>
      <c r="HU199" s="456"/>
      <c r="HV199" s="456"/>
      <c r="HW199" s="456"/>
      <c r="HX199" s="456"/>
      <c r="HY199" s="456"/>
      <c r="HZ199" s="456"/>
      <c r="IA199" s="456"/>
      <c r="IB199" s="456"/>
      <c r="IC199" s="456"/>
      <c r="ID199" s="456"/>
      <c r="IE199" s="456"/>
      <c r="IF199" s="456"/>
      <c r="IG199" s="456"/>
      <c r="IH199" s="456"/>
      <c r="II199" s="456"/>
      <c r="IJ199" s="456"/>
      <c r="IK199" s="456"/>
      <c r="IL199" s="456"/>
      <c r="IM199" s="456"/>
      <c r="IN199" s="457"/>
      <c r="IO199" s="457"/>
      <c r="IP199" s="456"/>
      <c r="IQ199" s="456"/>
      <c r="IR199" s="456"/>
      <c r="IS199" s="456"/>
      <c r="IT199" s="456"/>
      <c r="IU199" s="456"/>
      <c r="IV199" s="456"/>
      <c r="IW199" s="456"/>
      <c r="IX199" s="456"/>
      <c r="IY199" s="456"/>
      <c r="IZ199" s="456"/>
      <c r="JA199" s="456"/>
      <c r="JB199" s="456"/>
      <c r="JC199" s="456"/>
      <c r="JD199" s="456"/>
      <c r="JE199" s="456"/>
      <c r="JF199" s="456"/>
      <c r="JG199" s="456"/>
      <c r="JH199" s="456"/>
      <c r="JI199" s="456"/>
      <c r="JJ199" s="456"/>
      <c r="JK199" s="456"/>
      <c r="JL199" s="456"/>
      <c r="JM199" s="456"/>
      <c r="JN199" s="456"/>
      <c r="JO199" s="456"/>
      <c r="JP199" s="456"/>
      <c r="JQ199" s="456"/>
      <c r="JR199" s="456"/>
      <c r="JS199" s="456"/>
      <c r="JT199" s="456"/>
      <c r="JU199" s="456"/>
      <c r="JV199" s="456"/>
      <c r="JW199" s="456"/>
      <c r="JX199" s="456"/>
      <c r="JY199" s="456"/>
      <c r="JZ199" s="456"/>
      <c r="KA199" s="456"/>
      <c r="KB199" s="456"/>
      <c r="KC199" s="456"/>
      <c r="KD199" s="456"/>
      <c r="KE199" s="456"/>
      <c r="KF199" s="456"/>
    </row>
    <row r="200" spans="1:292" s="665" customFormat="1" ht="70" customHeight="1">
      <c r="A200" s="379"/>
      <c r="B200" s="380"/>
      <c r="C200" s="380"/>
      <c r="D200" s="380"/>
      <c r="E200" s="380"/>
      <c r="F200" s="381"/>
      <c r="G200" s="660"/>
      <c r="H200" s="660"/>
      <c r="I200" s="97"/>
      <c r="J200" s="161"/>
      <c r="K200" s="251"/>
      <c r="L200" s="661"/>
      <c r="M200" s="98"/>
      <c r="N200" s="148"/>
      <c r="O200" s="99"/>
      <c r="P200" s="662"/>
      <c r="Q200" s="662"/>
      <c r="R200" s="662"/>
      <c r="S200" s="662"/>
      <c r="T200" s="662"/>
      <c r="U200" s="382"/>
      <c r="V200" s="278"/>
      <c r="W200" s="220"/>
      <c r="X200" s="663"/>
      <c r="Y200" s="663"/>
      <c r="Z200" s="663"/>
      <c r="AA200" s="663"/>
      <c r="AB200" s="663"/>
      <c r="AC200" s="100"/>
      <c r="AD200" s="663"/>
      <c r="AE200" s="663"/>
      <c r="AF200" s="100"/>
      <c r="AG200" s="663"/>
      <c r="AH200" s="663"/>
      <c r="AI200" s="663"/>
      <c r="AJ200" s="663"/>
      <c r="AK200" s="663"/>
      <c r="AL200" s="663"/>
      <c r="AM200" s="663"/>
      <c r="AN200" s="663"/>
      <c r="AO200" s="663"/>
      <c r="AP200" s="101"/>
      <c r="AQ200" s="101"/>
      <c r="AR200" s="664"/>
      <c r="AS200" s="664"/>
      <c r="AT200" s="101"/>
      <c r="AU200" s="101"/>
      <c r="AV200" s="101"/>
      <c r="AW200" s="101"/>
      <c r="AX200" s="100"/>
      <c r="AY200" s="663"/>
      <c r="AZ200" s="663"/>
      <c r="BA200" s="663"/>
      <c r="BB200" s="663"/>
      <c r="BC200" s="663"/>
      <c r="BD200" s="663"/>
      <c r="BE200" s="663"/>
      <c r="BF200" s="663"/>
      <c r="BG200" s="663"/>
      <c r="BH200" s="663"/>
      <c r="BI200" s="663"/>
      <c r="BJ200" s="663"/>
      <c r="BK200" s="663"/>
      <c r="BL200" s="663"/>
      <c r="BM200" s="663"/>
      <c r="BN200" s="663"/>
      <c r="BO200" s="383"/>
      <c r="BP200" s="663"/>
      <c r="BQ200" s="663"/>
      <c r="BR200" s="663"/>
      <c r="BS200" s="663"/>
      <c r="BT200" s="663"/>
      <c r="BU200" s="663"/>
      <c r="BV200" s="663"/>
      <c r="BW200" s="663"/>
      <c r="BX200" s="663"/>
      <c r="BY200" s="663"/>
      <c r="BZ200" s="663"/>
      <c r="CA200" s="663"/>
      <c r="CB200" s="663"/>
      <c r="CC200" s="663"/>
      <c r="CD200" s="663"/>
      <c r="CE200" s="663"/>
      <c r="CF200" s="663"/>
      <c r="CG200" s="663"/>
      <c r="CH200" s="663"/>
      <c r="CI200" s="663"/>
      <c r="CJ200" s="663"/>
      <c r="CK200" s="663"/>
      <c r="CL200" s="663"/>
      <c r="CM200" s="663"/>
      <c r="CN200" s="663"/>
      <c r="CO200" s="663"/>
      <c r="CP200" s="663"/>
      <c r="CQ200" s="663"/>
      <c r="CR200" s="663"/>
      <c r="CS200" s="663"/>
      <c r="CT200" s="663"/>
      <c r="CU200" s="663"/>
      <c r="CV200" s="663"/>
      <c r="CW200" s="102"/>
      <c r="CX200" s="663"/>
      <c r="CY200" s="663"/>
      <c r="CZ200" s="663"/>
      <c r="DA200" s="663"/>
      <c r="DB200" s="663"/>
      <c r="DC200" s="663"/>
      <c r="DD200" s="663"/>
      <c r="DE200" s="663"/>
      <c r="DF200" s="663"/>
      <c r="DG200" s="663"/>
      <c r="DH200" s="663"/>
      <c r="DI200" s="663"/>
      <c r="DJ200" s="663"/>
      <c r="DK200" s="663"/>
      <c r="DL200" s="663"/>
      <c r="DM200" s="663"/>
      <c r="DN200" s="663"/>
      <c r="DO200" s="663"/>
      <c r="DP200" s="663"/>
      <c r="DQ200" s="663"/>
      <c r="DR200" s="100"/>
      <c r="DS200" s="663"/>
      <c r="DT200" s="663"/>
      <c r="DU200" s="663"/>
      <c r="DV200" s="663"/>
      <c r="DW200" s="663"/>
      <c r="DX200" s="663"/>
      <c r="DY200" s="663"/>
      <c r="DZ200" s="101"/>
      <c r="EA200" s="101"/>
      <c r="EB200" s="664"/>
      <c r="EC200" s="664"/>
      <c r="ED200" s="100"/>
      <c r="EE200" s="663"/>
      <c r="EF200" s="663"/>
      <c r="EG200" s="663"/>
      <c r="EH200" s="663"/>
      <c r="EI200" s="663"/>
      <c r="EJ200" s="663"/>
      <c r="EK200" s="663"/>
      <c r="EL200" s="663"/>
      <c r="EM200" s="663"/>
      <c r="EN200" s="663"/>
      <c r="EO200" s="663"/>
      <c r="EP200" s="663"/>
      <c r="EQ200" s="663"/>
      <c r="ER200" s="663"/>
      <c r="ES200" s="663"/>
      <c r="ET200" s="663"/>
      <c r="EU200" s="663"/>
      <c r="EV200" s="663"/>
      <c r="EW200" s="663"/>
      <c r="EX200" s="663"/>
      <c r="EY200" s="663"/>
      <c r="EZ200" s="663"/>
      <c r="FA200" s="383"/>
      <c r="FB200" s="663"/>
      <c r="FC200" s="663"/>
      <c r="FD200" s="663"/>
      <c r="FE200" s="663"/>
      <c r="FF200" s="663"/>
      <c r="FG200" s="663"/>
      <c r="FH200" s="663"/>
      <c r="FI200" s="663"/>
      <c r="FJ200" s="663"/>
      <c r="FK200" s="663"/>
      <c r="FL200" s="663"/>
      <c r="FM200" s="663"/>
      <c r="FN200" s="663"/>
      <c r="FO200" s="663"/>
      <c r="FP200" s="663"/>
      <c r="FQ200" s="663"/>
      <c r="FR200" s="663"/>
      <c r="FS200" s="663"/>
      <c r="FT200" s="663"/>
      <c r="FU200" s="663"/>
      <c r="FV200" s="663"/>
      <c r="FW200" s="663"/>
      <c r="FX200" s="663"/>
      <c r="FY200" s="663"/>
      <c r="FZ200" s="663"/>
      <c r="GA200" s="663"/>
      <c r="GB200" s="663"/>
      <c r="GC200" s="663"/>
      <c r="GD200" s="663"/>
      <c r="GE200" s="663"/>
      <c r="GF200" s="663"/>
      <c r="GG200" s="663"/>
      <c r="GH200" s="663"/>
      <c r="GI200" s="663"/>
      <c r="GJ200" s="663"/>
      <c r="GK200" s="663"/>
      <c r="GL200" s="663"/>
      <c r="GM200" s="663"/>
      <c r="GN200" s="663"/>
      <c r="GO200" s="663"/>
      <c r="GP200" s="663"/>
      <c r="GQ200" s="663"/>
      <c r="GR200" s="663"/>
      <c r="GS200" s="663"/>
      <c r="GT200" s="663"/>
      <c r="GU200" s="663"/>
      <c r="GV200" s="663"/>
      <c r="GW200" s="102"/>
      <c r="GX200" s="663"/>
      <c r="GY200" s="663"/>
      <c r="GZ200" s="663"/>
      <c r="HA200" s="663"/>
      <c r="HB200" s="663"/>
      <c r="HC200" s="663"/>
      <c r="HD200" s="663"/>
      <c r="HE200" s="663"/>
      <c r="HF200" s="663"/>
      <c r="HG200" s="663"/>
      <c r="HH200" s="663"/>
      <c r="HI200" s="663"/>
      <c r="HJ200" s="663"/>
      <c r="HK200" s="663"/>
      <c r="HL200" s="663"/>
      <c r="HM200" s="663"/>
      <c r="HN200" s="663"/>
      <c r="HO200" s="663"/>
      <c r="HP200" s="663"/>
      <c r="HQ200" s="663"/>
      <c r="HR200" s="663"/>
      <c r="HS200" s="663"/>
      <c r="HT200" s="663"/>
      <c r="HU200" s="663"/>
      <c r="HV200" s="663"/>
      <c r="HW200" s="663"/>
      <c r="HX200" s="663"/>
      <c r="HY200" s="663"/>
      <c r="HZ200" s="663"/>
      <c r="IA200" s="663"/>
      <c r="IB200" s="663"/>
      <c r="IC200" s="663"/>
      <c r="ID200" s="663"/>
      <c r="IE200" s="663"/>
      <c r="IF200" s="663"/>
      <c r="IG200" s="663"/>
      <c r="IH200" s="663"/>
      <c r="II200" s="663"/>
      <c r="IJ200" s="663"/>
      <c r="IK200" s="663"/>
      <c r="IL200" s="663"/>
      <c r="IM200" s="663"/>
      <c r="IN200" s="663"/>
      <c r="IO200" s="663"/>
      <c r="IP200" s="663"/>
      <c r="IQ200" s="663"/>
      <c r="IR200" s="663"/>
      <c r="IS200" s="663"/>
      <c r="IT200" s="663"/>
      <c r="IU200" s="663"/>
      <c r="IV200" s="663"/>
      <c r="IW200" s="663"/>
      <c r="IX200" s="663"/>
      <c r="IY200" s="663"/>
      <c r="IZ200" s="663"/>
      <c r="JA200" s="663"/>
      <c r="JB200" s="663"/>
      <c r="JC200" s="663"/>
      <c r="JD200" s="663"/>
      <c r="JE200" s="663"/>
      <c r="JF200" s="663"/>
      <c r="JG200" s="663"/>
      <c r="JH200" s="663"/>
      <c r="JI200" s="663"/>
      <c r="JJ200" s="663"/>
      <c r="JK200" s="663"/>
      <c r="JL200" s="663"/>
      <c r="JM200" s="663"/>
      <c r="JN200" s="663"/>
      <c r="JO200" s="663"/>
      <c r="JP200" s="663"/>
      <c r="JQ200" s="663"/>
      <c r="JR200" s="663"/>
      <c r="JS200" s="663"/>
      <c r="JT200" s="663"/>
      <c r="JU200" s="663"/>
      <c r="JV200" s="663"/>
      <c r="JW200" s="663"/>
      <c r="JX200" s="663"/>
      <c r="JY200" s="663"/>
      <c r="JZ200" s="663"/>
      <c r="KA200" s="663"/>
      <c r="KB200" s="663"/>
      <c r="KC200" s="663"/>
      <c r="KD200" s="663"/>
      <c r="KE200" s="663"/>
      <c r="KF200" s="663"/>
    </row>
    <row r="201" spans="1:292" ht="70" customHeight="1">
      <c r="A201" s="371">
        <v>880065</v>
      </c>
      <c r="B201" s="282"/>
      <c r="C201" s="282"/>
      <c r="D201" s="282"/>
      <c r="E201" s="282"/>
      <c r="F201" s="331"/>
      <c r="G201" s="577" t="s">
        <v>485</v>
      </c>
      <c r="H201" s="577"/>
      <c r="I201" s="104" t="s">
        <v>54</v>
      </c>
      <c r="J201" s="156" t="s">
        <v>115</v>
      </c>
      <c r="K201" s="236"/>
      <c r="L201" s="529"/>
      <c r="M201" s="33"/>
      <c r="N201" s="42"/>
      <c r="O201" s="33"/>
      <c r="P201" s="526"/>
      <c r="Q201" s="637"/>
      <c r="R201" s="526"/>
      <c r="S201" s="526"/>
      <c r="T201" s="585"/>
      <c r="U201" s="372"/>
      <c r="V201" s="277" t="s">
        <v>496</v>
      </c>
      <c r="W201" s="211"/>
      <c r="X201" s="456"/>
      <c r="Y201" s="456"/>
      <c r="Z201" s="465"/>
      <c r="AA201" s="465"/>
      <c r="AB201" s="465"/>
      <c r="AC201" s="11"/>
      <c r="AD201" s="465"/>
      <c r="AE201" s="456"/>
      <c r="AF201" s="10"/>
      <c r="AG201" s="456"/>
      <c r="AH201" s="456"/>
      <c r="AI201" s="456"/>
      <c r="AJ201" s="457"/>
      <c r="AK201" s="457"/>
      <c r="AL201" s="456"/>
      <c r="AM201" s="456"/>
      <c r="AN201" s="456"/>
      <c r="AO201" s="456"/>
      <c r="AP201" s="86"/>
      <c r="AQ201" s="86"/>
      <c r="AR201" s="656"/>
      <c r="AS201" s="656"/>
      <c r="AT201" s="86"/>
      <c r="AU201" s="86"/>
      <c r="AV201" s="86"/>
      <c r="AW201" s="86"/>
      <c r="AX201" s="11"/>
      <c r="AY201" s="465"/>
      <c r="AZ201" s="465"/>
      <c r="BA201" s="465"/>
      <c r="BB201" s="465"/>
      <c r="BC201" s="465"/>
      <c r="BD201" s="465"/>
      <c r="BE201" s="465"/>
      <c r="BF201" s="465"/>
      <c r="BG201" s="465"/>
      <c r="BH201" s="465"/>
      <c r="BI201" s="465"/>
      <c r="BJ201" s="465"/>
      <c r="BK201" s="465"/>
      <c r="BL201" s="465"/>
      <c r="BM201" s="465"/>
      <c r="BN201" s="465"/>
      <c r="BO201" s="377"/>
      <c r="BP201" s="465"/>
      <c r="BQ201" s="465"/>
      <c r="BR201" s="465"/>
      <c r="BS201" s="465"/>
      <c r="BT201" s="465"/>
      <c r="BU201" s="465"/>
      <c r="BV201" s="465"/>
      <c r="BW201" s="465"/>
      <c r="BX201" s="465"/>
      <c r="BY201" s="465"/>
      <c r="BZ201" s="465"/>
      <c r="CA201" s="465"/>
      <c r="CB201" s="465"/>
      <c r="CC201" s="465"/>
      <c r="CD201" s="465"/>
      <c r="CE201" s="465"/>
      <c r="CF201" s="465"/>
      <c r="CG201" s="465"/>
      <c r="CH201" s="465"/>
      <c r="CI201" s="465"/>
      <c r="CJ201" s="465"/>
      <c r="CK201" s="465"/>
      <c r="CL201" s="465"/>
      <c r="CM201" s="457"/>
      <c r="CN201" s="457"/>
      <c r="CO201" s="465"/>
      <c r="CP201" s="465"/>
      <c r="CQ201" s="465"/>
      <c r="CR201" s="465"/>
      <c r="CS201" s="465"/>
      <c r="CT201" s="465"/>
      <c r="CU201" s="465"/>
      <c r="CV201" s="465"/>
      <c r="CW201" s="2"/>
      <c r="CX201" s="457"/>
      <c r="CY201" s="465"/>
      <c r="CZ201" s="465"/>
      <c r="DA201" s="465"/>
      <c r="DB201" s="465"/>
      <c r="DC201" s="465"/>
      <c r="DD201" s="456"/>
      <c r="DE201" s="456"/>
      <c r="DF201" s="456"/>
      <c r="DG201" s="456"/>
      <c r="DH201" s="456"/>
      <c r="DI201" s="456"/>
      <c r="DJ201" s="456"/>
      <c r="DK201" s="456"/>
      <c r="DL201" s="456"/>
      <c r="DM201" s="456"/>
      <c r="DN201" s="456"/>
      <c r="DO201" s="456"/>
      <c r="DP201" s="456"/>
      <c r="DQ201" s="456"/>
      <c r="DR201" s="10"/>
      <c r="DS201" s="456"/>
      <c r="DT201" s="456"/>
      <c r="DU201" s="456"/>
      <c r="DV201" s="456"/>
      <c r="DW201" s="456"/>
      <c r="DX201" s="456"/>
      <c r="DY201" s="456"/>
      <c r="DZ201" s="86"/>
      <c r="EA201" s="86"/>
      <c r="EB201" s="656"/>
      <c r="EC201" s="656"/>
      <c r="ED201" s="10"/>
      <c r="EE201" s="456"/>
      <c r="EF201" s="456"/>
      <c r="EG201" s="456"/>
      <c r="EH201" s="456"/>
      <c r="EI201" s="456"/>
      <c r="EJ201" s="456"/>
      <c r="EK201" s="456"/>
      <c r="EL201" s="457"/>
      <c r="EM201" s="457"/>
      <c r="EN201" s="456"/>
      <c r="EO201" s="456"/>
      <c r="EP201" s="456"/>
      <c r="EQ201" s="456"/>
      <c r="ER201" s="456"/>
      <c r="ES201" s="456"/>
      <c r="ET201" s="456"/>
      <c r="EU201" s="456"/>
      <c r="EV201" s="456"/>
      <c r="EW201" s="456"/>
      <c r="EX201" s="456"/>
      <c r="EY201" s="456"/>
      <c r="EZ201" s="456"/>
      <c r="FA201" s="378"/>
      <c r="FB201" s="456"/>
      <c r="FC201" s="456"/>
      <c r="FD201" s="456"/>
      <c r="FE201" s="456"/>
      <c r="FF201" s="456"/>
      <c r="FG201" s="456"/>
      <c r="FH201" s="456"/>
      <c r="FI201" s="456"/>
      <c r="FJ201" s="456"/>
      <c r="FK201" s="456"/>
      <c r="FL201" s="456"/>
      <c r="FM201" s="456"/>
      <c r="FN201" s="456"/>
      <c r="FO201" s="456"/>
      <c r="FP201" s="456"/>
      <c r="FQ201" s="456"/>
      <c r="FR201" s="456"/>
      <c r="FS201" s="456"/>
      <c r="FT201" s="456"/>
      <c r="FU201" s="456"/>
      <c r="FV201" s="456"/>
      <c r="FW201" s="456"/>
      <c r="FX201" s="456"/>
      <c r="FY201" s="456"/>
      <c r="FZ201" s="456"/>
      <c r="GA201" s="456"/>
      <c r="GB201" s="456"/>
      <c r="GC201" s="456"/>
      <c r="GD201" s="456"/>
      <c r="GE201" s="456"/>
      <c r="GF201" s="456"/>
      <c r="GG201" s="456"/>
      <c r="GH201" s="456"/>
      <c r="GI201" s="456"/>
      <c r="GJ201" s="457"/>
      <c r="GK201" s="457"/>
      <c r="GL201" s="456"/>
      <c r="GM201" s="456"/>
      <c r="GN201" s="456"/>
      <c r="GO201" s="456"/>
      <c r="GP201" s="456"/>
      <c r="GQ201" s="456"/>
      <c r="GR201" s="456"/>
      <c r="GS201" s="456"/>
      <c r="GT201" s="456"/>
      <c r="GU201" s="456"/>
      <c r="GV201" s="456"/>
      <c r="GW201" s="16"/>
      <c r="GX201" s="456"/>
      <c r="GY201" s="456"/>
      <c r="GZ201" s="456"/>
      <c r="HA201" s="456"/>
      <c r="HB201" s="456"/>
      <c r="HC201" s="456"/>
      <c r="HD201" s="456"/>
      <c r="HE201" s="456"/>
      <c r="HF201" s="456"/>
      <c r="HG201" s="456"/>
      <c r="HH201" s="456"/>
      <c r="HI201" s="456"/>
      <c r="HJ201" s="456"/>
      <c r="HK201" s="456"/>
      <c r="HL201" s="456"/>
      <c r="HM201" s="456"/>
      <c r="HN201" s="456"/>
      <c r="HO201" s="456"/>
      <c r="HP201" s="456"/>
      <c r="HQ201" s="456"/>
      <c r="HR201" s="456"/>
      <c r="HS201" s="456"/>
      <c r="HT201" s="456"/>
      <c r="HU201" s="456"/>
      <c r="HV201" s="456"/>
      <c r="HW201" s="456"/>
      <c r="HX201" s="456"/>
      <c r="HY201" s="456"/>
      <c r="HZ201" s="456"/>
      <c r="IA201" s="456"/>
      <c r="IB201" s="456"/>
      <c r="IC201" s="456"/>
      <c r="ID201" s="456"/>
      <c r="IE201" s="456"/>
      <c r="IF201" s="456"/>
      <c r="IG201" s="456"/>
      <c r="IH201" s="456"/>
      <c r="II201" s="456"/>
      <c r="IJ201" s="456"/>
      <c r="IK201" s="456"/>
      <c r="IL201" s="456"/>
      <c r="IM201" s="456"/>
      <c r="IN201" s="457"/>
      <c r="IO201" s="457"/>
      <c r="IP201" s="456"/>
      <c r="IQ201" s="456"/>
      <c r="IR201" s="456"/>
      <c r="IS201" s="456"/>
      <c r="IT201" s="456"/>
      <c r="IU201" s="456"/>
      <c r="IV201" s="456"/>
      <c r="IW201" s="456"/>
      <c r="IX201" s="456"/>
      <c r="IY201" s="456"/>
      <c r="IZ201" s="456"/>
      <c r="JA201" s="456"/>
      <c r="JB201" s="456"/>
      <c r="JC201" s="456"/>
      <c r="JD201" s="456"/>
      <c r="JE201" s="456"/>
      <c r="JF201" s="456"/>
      <c r="JG201" s="456"/>
      <c r="JH201" s="456"/>
      <c r="JI201" s="456"/>
      <c r="JJ201" s="456"/>
      <c r="JK201" s="456"/>
      <c r="JL201" s="456"/>
      <c r="JM201" s="456"/>
      <c r="JN201" s="456"/>
      <c r="JO201" s="456"/>
      <c r="JP201" s="456"/>
      <c r="JQ201" s="456"/>
      <c r="JR201" s="456"/>
      <c r="JS201" s="456"/>
      <c r="JT201" s="456"/>
      <c r="JU201" s="456"/>
      <c r="JV201" s="456"/>
      <c r="JW201" s="456"/>
      <c r="JX201" s="456"/>
      <c r="JY201" s="456"/>
      <c r="JZ201" s="456"/>
      <c r="KA201" s="456"/>
      <c r="KB201" s="456"/>
      <c r="KC201" s="456"/>
      <c r="KD201" s="456"/>
      <c r="KE201" s="456"/>
      <c r="KF201" s="456"/>
    </row>
    <row r="202" spans="1:292" ht="70" customHeight="1">
      <c r="A202" s="371">
        <v>880066</v>
      </c>
      <c r="B202" s="282"/>
      <c r="C202" s="282"/>
      <c r="D202" s="282"/>
      <c r="E202" s="282"/>
      <c r="F202" s="386" t="s">
        <v>503</v>
      </c>
      <c r="G202" s="577" t="s">
        <v>486</v>
      </c>
      <c r="H202" s="577"/>
      <c r="I202" s="104" t="s">
        <v>54</v>
      </c>
      <c r="J202" s="156" t="s">
        <v>115</v>
      </c>
      <c r="K202" s="236"/>
      <c r="L202" s="529"/>
      <c r="M202" s="33"/>
      <c r="N202" s="42"/>
      <c r="O202" s="33"/>
      <c r="P202" s="84">
        <v>46095</v>
      </c>
      <c r="Q202" s="637">
        <v>46130</v>
      </c>
      <c r="R202" s="526">
        <v>46144</v>
      </c>
      <c r="S202" s="526"/>
      <c r="T202" s="585">
        <v>46179</v>
      </c>
      <c r="U202" s="372"/>
      <c r="V202" s="277"/>
      <c r="W202" s="211"/>
      <c r="X202" s="456"/>
      <c r="Y202" s="456"/>
      <c r="Z202" s="465"/>
      <c r="AA202" s="465"/>
      <c r="AB202" s="465"/>
      <c r="AC202" s="11"/>
      <c r="AD202" s="465"/>
      <c r="AE202" s="456"/>
      <c r="AF202" s="10"/>
      <c r="AG202" s="456"/>
      <c r="AH202" s="456"/>
      <c r="AI202" s="456"/>
      <c r="AJ202" s="457"/>
      <c r="AK202" s="457"/>
      <c r="AL202" s="456"/>
      <c r="AM202" s="456"/>
      <c r="AN202" s="456"/>
      <c r="AO202" s="456"/>
      <c r="AP202" s="86"/>
      <c r="AQ202" s="86"/>
      <c r="AR202" s="656"/>
      <c r="AS202" s="656"/>
      <c r="AT202" s="86"/>
      <c r="AU202" s="86"/>
      <c r="AV202" s="86"/>
      <c r="AW202" s="86"/>
      <c r="AX202" s="11"/>
      <c r="AY202" s="465"/>
      <c r="AZ202" s="465"/>
      <c r="BA202" s="465"/>
      <c r="BB202" s="465"/>
      <c r="BC202" s="465"/>
      <c r="BD202" s="465"/>
      <c r="BE202" s="465"/>
      <c r="BF202" s="465"/>
      <c r="BG202" s="465"/>
      <c r="BH202" s="465"/>
      <c r="BI202" s="465"/>
      <c r="BJ202" s="465"/>
      <c r="BK202" s="465"/>
      <c r="BL202" s="465"/>
      <c r="BM202" s="465"/>
      <c r="BN202" s="465"/>
      <c r="BO202" s="377"/>
      <c r="BP202" s="465"/>
      <c r="BQ202" s="465"/>
      <c r="BR202" s="465"/>
      <c r="BS202" s="465"/>
      <c r="BT202" s="465"/>
      <c r="BU202" s="465"/>
      <c r="BV202" s="465"/>
      <c r="BW202" s="465"/>
      <c r="BX202" s="465"/>
      <c r="BY202" s="465"/>
      <c r="BZ202" s="465"/>
      <c r="CA202" s="465"/>
      <c r="CB202" s="465"/>
      <c r="CC202" s="25"/>
      <c r="CD202" s="25"/>
      <c r="CE202" s="25"/>
      <c r="CF202" s="25"/>
      <c r="CG202" s="25"/>
      <c r="CH202" s="25"/>
      <c r="CI202" s="25"/>
      <c r="CJ202" s="25"/>
      <c r="CK202" s="25"/>
      <c r="CL202" s="25"/>
      <c r="CM202" s="457"/>
      <c r="CN202" s="457"/>
      <c r="CO202" s="25"/>
      <c r="CP202" s="25"/>
      <c r="CQ202" s="630" t="s">
        <v>478</v>
      </c>
      <c r="CR202" s="630"/>
      <c r="CS202" s="630"/>
      <c r="CT202" s="630"/>
      <c r="CU202" s="667" t="s">
        <v>479</v>
      </c>
      <c r="CV202" s="668" t="s">
        <v>480</v>
      </c>
      <c r="CW202" s="669"/>
      <c r="CX202" s="457"/>
      <c r="CY202" s="670" t="s">
        <v>481</v>
      </c>
      <c r="CZ202" s="671"/>
      <c r="DA202" s="671"/>
      <c r="DB202" s="672" t="s">
        <v>487</v>
      </c>
      <c r="DC202" s="672"/>
      <c r="DD202" s="672"/>
      <c r="DE202" s="456"/>
      <c r="DF202" s="456"/>
      <c r="DG202" s="456"/>
      <c r="DH202" s="456"/>
      <c r="DI202" s="456"/>
      <c r="DJ202" s="456"/>
      <c r="DK202" s="456"/>
      <c r="DL202" s="456"/>
      <c r="DM202" s="456"/>
      <c r="DN202" s="456"/>
      <c r="DO202" s="456"/>
      <c r="DP202" s="456"/>
      <c r="DQ202" s="456"/>
      <c r="DR202" s="456"/>
      <c r="DS202" s="456"/>
      <c r="DT202" s="456"/>
      <c r="DU202" s="456"/>
      <c r="DV202" s="456"/>
      <c r="DW202" s="456"/>
      <c r="DX202" s="456"/>
      <c r="DY202" s="456"/>
      <c r="DZ202" s="86"/>
      <c r="EA202" s="86"/>
      <c r="EB202" s="656"/>
      <c r="EC202" s="656"/>
      <c r="ED202" s="10"/>
      <c r="EE202" s="456"/>
      <c r="EF202" s="456"/>
      <c r="EG202" s="456"/>
      <c r="EH202" s="456"/>
      <c r="EI202" s="456"/>
      <c r="EJ202" s="456"/>
      <c r="EK202" s="456"/>
      <c r="EL202" s="457"/>
      <c r="EM202" s="457"/>
      <c r="EN202" s="456"/>
      <c r="EO202" s="456"/>
      <c r="EP202" s="456"/>
      <c r="EQ202" s="456"/>
      <c r="ER202" s="456"/>
      <c r="ES202" s="456"/>
      <c r="ET202" s="456"/>
      <c r="EU202" s="456"/>
      <c r="EV202" s="456"/>
      <c r="EW202" s="456"/>
      <c r="EX202" s="456"/>
      <c r="EY202" s="456"/>
      <c r="EZ202" s="456"/>
      <c r="FA202" s="378"/>
      <c r="FB202" s="456"/>
      <c r="FC202" s="456"/>
      <c r="FD202" s="456"/>
      <c r="FE202" s="456"/>
      <c r="FF202" s="456"/>
      <c r="FG202" s="456"/>
      <c r="FH202" s="456"/>
      <c r="FI202" s="456"/>
      <c r="FJ202" s="456"/>
      <c r="FK202" s="456"/>
      <c r="FL202" s="456"/>
      <c r="FM202" s="456"/>
      <c r="FN202" s="456"/>
      <c r="FO202" s="456"/>
      <c r="FP202" s="456"/>
      <c r="FQ202" s="456"/>
      <c r="FR202" s="456"/>
      <c r="FS202" s="456"/>
      <c r="FT202" s="456"/>
      <c r="FU202" s="456"/>
      <c r="FV202" s="456"/>
      <c r="FW202" s="456"/>
      <c r="FX202" s="456"/>
      <c r="FY202" s="456"/>
      <c r="FZ202" s="456"/>
      <c r="GA202" s="456"/>
      <c r="GB202" s="456"/>
      <c r="GC202" s="456"/>
      <c r="GD202" s="456"/>
      <c r="GE202" s="456"/>
      <c r="GF202" s="456"/>
      <c r="GG202" s="456"/>
      <c r="GH202" s="456"/>
      <c r="GI202" s="456"/>
      <c r="GJ202" s="457"/>
      <c r="GK202" s="457"/>
      <c r="GL202" s="456"/>
      <c r="GM202" s="456"/>
      <c r="GN202" s="456"/>
      <c r="GO202" s="456"/>
      <c r="GP202" s="456"/>
      <c r="GQ202" s="456"/>
      <c r="GR202" s="456"/>
      <c r="GS202" s="456"/>
      <c r="GT202" s="456"/>
      <c r="GU202" s="456"/>
      <c r="GV202" s="456"/>
      <c r="GW202" s="16"/>
      <c r="GX202" s="456"/>
      <c r="GY202" s="456"/>
      <c r="GZ202" s="456"/>
      <c r="HA202" s="456"/>
      <c r="HB202" s="456"/>
      <c r="HC202" s="456"/>
      <c r="HD202" s="456"/>
      <c r="HE202" s="456"/>
      <c r="HF202" s="456"/>
      <c r="HG202" s="456"/>
      <c r="HH202" s="456"/>
      <c r="HI202" s="456"/>
      <c r="HJ202" s="456"/>
      <c r="HK202" s="456"/>
      <c r="HL202" s="456"/>
      <c r="HM202" s="456"/>
      <c r="HN202" s="456"/>
      <c r="HO202" s="456"/>
      <c r="HP202" s="456"/>
      <c r="HQ202" s="456"/>
      <c r="HR202" s="456"/>
      <c r="HS202" s="456"/>
      <c r="HT202" s="456"/>
      <c r="HU202" s="456"/>
      <c r="HV202" s="456"/>
      <c r="HW202" s="456"/>
      <c r="HX202" s="456"/>
      <c r="HY202" s="456"/>
      <c r="HZ202" s="456"/>
      <c r="IA202" s="456"/>
      <c r="IB202" s="456"/>
      <c r="IC202" s="456"/>
      <c r="ID202" s="456"/>
      <c r="IE202" s="456"/>
      <c r="IF202" s="456"/>
      <c r="IG202" s="456"/>
      <c r="IH202" s="456"/>
      <c r="II202" s="456"/>
      <c r="IJ202" s="456"/>
      <c r="IK202" s="456"/>
      <c r="IL202" s="456"/>
      <c r="IM202" s="456"/>
      <c r="IN202" s="457"/>
      <c r="IO202" s="457"/>
      <c r="IP202" s="456"/>
      <c r="IQ202" s="456"/>
      <c r="IR202" s="456"/>
      <c r="IS202" s="456"/>
      <c r="IT202" s="456"/>
      <c r="IU202" s="456"/>
      <c r="IV202" s="456"/>
      <c r="IW202" s="456"/>
      <c r="IX202" s="456"/>
      <c r="IY202" s="456"/>
      <c r="IZ202" s="456"/>
      <c r="JA202" s="456"/>
      <c r="JB202" s="456"/>
      <c r="JC202" s="456"/>
      <c r="JD202" s="456"/>
      <c r="JE202" s="456"/>
      <c r="JF202" s="456"/>
      <c r="JG202" s="456"/>
      <c r="JH202" s="456"/>
      <c r="JI202" s="456"/>
      <c r="JJ202" s="456"/>
      <c r="JK202" s="456"/>
      <c r="JL202" s="456"/>
      <c r="JM202" s="456"/>
      <c r="JN202" s="456"/>
      <c r="JO202" s="456"/>
      <c r="JP202" s="456"/>
      <c r="JQ202" s="456"/>
      <c r="JR202" s="456"/>
      <c r="JS202" s="456"/>
      <c r="JT202" s="456"/>
      <c r="JU202" s="456"/>
      <c r="JV202" s="456"/>
      <c r="JW202" s="456"/>
      <c r="JX202" s="456"/>
      <c r="JY202" s="456"/>
      <c r="JZ202" s="456"/>
      <c r="KA202" s="456"/>
      <c r="KB202" s="456"/>
      <c r="KC202" s="456"/>
      <c r="KD202" s="456"/>
      <c r="KE202" s="456"/>
      <c r="KF202" s="456"/>
    </row>
    <row r="203" spans="1:292" ht="70" customHeight="1">
      <c r="A203" s="371">
        <v>880067</v>
      </c>
      <c r="B203" s="282"/>
      <c r="C203" s="282"/>
      <c r="D203" s="282"/>
      <c r="E203" s="282"/>
      <c r="F203" s="386" t="s">
        <v>503</v>
      </c>
      <c r="G203" s="577" t="s">
        <v>488</v>
      </c>
      <c r="H203" s="577"/>
      <c r="I203" s="104" t="s">
        <v>54</v>
      </c>
      <c r="J203" s="156" t="s">
        <v>115</v>
      </c>
      <c r="K203" s="236"/>
      <c r="L203" s="529"/>
      <c r="M203" s="33"/>
      <c r="N203" s="42"/>
      <c r="O203" s="33"/>
      <c r="P203" s="84">
        <v>46123</v>
      </c>
      <c r="Q203" s="637">
        <v>46151</v>
      </c>
      <c r="R203" s="526">
        <v>46164</v>
      </c>
      <c r="S203" s="526"/>
      <c r="T203" s="585">
        <v>46200</v>
      </c>
      <c r="U203" s="372"/>
      <c r="V203" s="277"/>
      <c r="W203" s="211"/>
      <c r="X203" s="456"/>
      <c r="Y203" s="456"/>
      <c r="Z203" s="465"/>
      <c r="AA203" s="465"/>
      <c r="AB203" s="465"/>
      <c r="AC203" s="11"/>
      <c r="AD203" s="465"/>
      <c r="AE203" s="456"/>
      <c r="AF203" s="10"/>
      <c r="AG203" s="456"/>
      <c r="AH203" s="456"/>
      <c r="AI203" s="456"/>
      <c r="AJ203" s="457"/>
      <c r="AK203" s="457"/>
      <c r="AL203" s="456"/>
      <c r="AM203" s="456"/>
      <c r="AN203" s="456"/>
      <c r="AO203" s="456"/>
      <c r="AP203" s="86"/>
      <c r="AQ203" s="86"/>
      <c r="AR203" s="656"/>
      <c r="AS203" s="656"/>
      <c r="AT203" s="86"/>
      <c r="AU203" s="86"/>
      <c r="AV203" s="86"/>
      <c r="AW203" s="86"/>
      <c r="AX203" s="11"/>
      <c r="AY203" s="465"/>
      <c r="AZ203" s="465"/>
      <c r="BA203" s="465"/>
      <c r="BB203" s="465"/>
      <c r="BC203" s="465"/>
      <c r="BD203" s="465"/>
      <c r="BE203" s="465"/>
      <c r="BF203" s="465"/>
      <c r="BG203" s="465"/>
      <c r="BH203" s="465"/>
      <c r="BI203" s="465"/>
      <c r="BJ203" s="465"/>
      <c r="BK203" s="465"/>
      <c r="BL203" s="465"/>
      <c r="BM203" s="465"/>
      <c r="BN203" s="465"/>
      <c r="BO203" s="377"/>
      <c r="BP203" s="465"/>
      <c r="BQ203" s="465"/>
      <c r="BR203" s="465"/>
      <c r="BS203" s="465"/>
      <c r="BT203" s="465"/>
      <c r="BU203" s="465"/>
      <c r="BV203" s="465"/>
      <c r="BW203" s="465"/>
      <c r="BX203" s="465"/>
      <c r="BY203" s="465"/>
      <c r="BZ203" s="465"/>
      <c r="CA203" s="465"/>
      <c r="CB203" s="465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457"/>
      <c r="CN203" s="457"/>
      <c r="CO203" s="25"/>
      <c r="CP203" s="25"/>
      <c r="CQ203" s="26"/>
      <c r="CR203" s="26"/>
      <c r="CS203" s="26"/>
      <c r="CT203" s="26"/>
      <c r="CU203" s="456"/>
      <c r="CV203" s="456"/>
      <c r="CW203" s="456"/>
      <c r="CX203" s="457"/>
      <c r="CY203" s="456"/>
      <c r="CZ203" s="456"/>
      <c r="DA203" s="456"/>
      <c r="DB203" s="456"/>
      <c r="DC203" s="456"/>
      <c r="DD203" s="456"/>
      <c r="DE203" s="456"/>
      <c r="DF203" s="456"/>
      <c r="DG203" s="630" t="s">
        <v>478</v>
      </c>
      <c r="DH203" s="630"/>
      <c r="DI203" s="630"/>
      <c r="DJ203" s="667" t="s">
        <v>479</v>
      </c>
      <c r="DK203" s="668" t="s">
        <v>480</v>
      </c>
      <c r="DL203" s="668"/>
      <c r="DM203" s="671" t="s">
        <v>481</v>
      </c>
      <c r="DN203" s="671"/>
      <c r="DO203" s="671"/>
      <c r="DP203" s="672" t="s">
        <v>487</v>
      </c>
      <c r="DQ203" s="672"/>
      <c r="DR203" s="672"/>
      <c r="DS203" s="456"/>
      <c r="DT203" s="456"/>
      <c r="DU203" s="456"/>
      <c r="DV203" s="456"/>
      <c r="DW203" s="16"/>
      <c r="DX203" s="456"/>
      <c r="DY203" s="456"/>
      <c r="DZ203" s="456"/>
      <c r="EA203" s="456"/>
      <c r="EB203" s="456"/>
      <c r="EC203" s="456"/>
      <c r="ED203" s="456"/>
      <c r="EE203" s="456"/>
      <c r="EF203" s="456"/>
      <c r="EG203" s="456"/>
      <c r="EH203" s="456"/>
      <c r="EI203" s="456"/>
      <c r="EJ203" s="456"/>
      <c r="EK203" s="456"/>
      <c r="EL203" s="457"/>
      <c r="EM203" s="457"/>
      <c r="EN203" s="456"/>
      <c r="EO203" s="456"/>
      <c r="EP203" s="456"/>
      <c r="EQ203" s="456"/>
      <c r="ER203" s="456"/>
      <c r="ES203" s="456"/>
      <c r="ET203" s="456"/>
      <c r="EU203" s="456"/>
      <c r="EV203" s="456"/>
      <c r="EW203" s="456"/>
      <c r="EX203" s="456"/>
      <c r="EY203" s="456"/>
      <c r="EZ203" s="456"/>
      <c r="FA203" s="456"/>
      <c r="FB203" s="456"/>
      <c r="FC203" s="456"/>
      <c r="FD203" s="456"/>
      <c r="FE203" s="456"/>
      <c r="FF203" s="456"/>
      <c r="FG203" s="456"/>
      <c r="FH203" s="456"/>
      <c r="FI203" s="456"/>
      <c r="FJ203" s="456"/>
      <c r="FK203" s="456"/>
      <c r="FL203" s="456"/>
      <c r="FM203" s="456"/>
      <c r="FN203" s="456"/>
      <c r="FO203" s="456"/>
      <c r="FP203" s="456"/>
      <c r="FQ203" s="456"/>
      <c r="FR203" s="456"/>
      <c r="FS203" s="456"/>
      <c r="FT203" s="456"/>
      <c r="FU203" s="456"/>
      <c r="FV203" s="456"/>
      <c r="FW203" s="456"/>
      <c r="FX203" s="456"/>
      <c r="FY203" s="456"/>
      <c r="FZ203" s="456"/>
      <c r="GA203" s="456"/>
      <c r="GB203" s="456"/>
      <c r="GC203" s="456"/>
      <c r="GD203" s="456"/>
      <c r="GE203" s="456"/>
      <c r="GF203" s="456"/>
      <c r="GG203" s="456"/>
      <c r="GH203" s="456"/>
      <c r="GI203" s="456"/>
      <c r="GJ203" s="457"/>
      <c r="GK203" s="457"/>
      <c r="GL203" s="456"/>
      <c r="GM203" s="456"/>
      <c r="GN203" s="456"/>
      <c r="GO203" s="456"/>
      <c r="GP203" s="456"/>
      <c r="GQ203" s="456"/>
      <c r="GR203" s="456"/>
      <c r="GS203" s="456"/>
      <c r="GT203" s="456"/>
      <c r="GU203" s="456"/>
      <c r="GV203" s="456"/>
      <c r="GW203" s="456"/>
      <c r="GX203" s="456"/>
      <c r="GY203" s="456"/>
      <c r="GZ203" s="456"/>
      <c r="HA203" s="456"/>
      <c r="HB203" s="456"/>
      <c r="HC203" s="456"/>
      <c r="HD203" s="456"/>
      <c r="HE203" s="456"/>
      <c r="HF203" s="456"/>
      <c r="HG203" s="456"/>
      <c r="HH203" s="456"/>
      <c r="HI203" s="456"/>
      <c r="HJ203" s="456"/>
      <c r="HK203" s="456"/>
      <c r="HL203" s="456"/>
      <c r="HM203" s="456"/>
      <c r="HN203" s="456"/>
      <c r="HO203" s="456"/>
      <c r="HP203" s="456"/>
      <c r="HQ203" s="456"/>
      <c r="HR203" s="456"/>
      <c r="HS203" s="456"/>
      <c r="HT203" s="456"/>
      <c r="HU203" s="456"/>
      <c r="HV203" s="456"/>
      <c r="HW203" s="456"/>
      <c r="HX203" s="456"/>
      <c r="HY203" s="456"/>
      <c r="HZ203" s="456"/>
      <c r="IA203" s="456"/>
      <c r="IB203" s="456"/>
      <c r="IC203" s="456"/>
      <c r="ID203" s="456"/>
      <c r="IE203" s="456"/>
      <c r="IF203" s="456"/>
      <c r="IG203" s="456"/>
      <c r="IH203" s="456"/>
      <c r="II203" s="456"/>
      <c r="IJ203" s="456"/>
      <c r="IK203" s="456"/>
      <c r="IL203" s="456"/>
      <c r="IM203" s="456"/>
      <c r="IN203" s="457"/>
      <c r="IO203" s="457"/>
      <c r="IP203" s="456"/>
      <c r="IQ203" s="456"/>
      <c r="IR203" s="456"/>
      <c r="IS203" s="456"/>
      <c r="IT203" s="456"/>
      <c r="IU203" s="456"/>
      <c r="IV203" s="456"/>
      <c r="IW203" s="456"/>
      <c r="IX203" s="456"/>
      <c r="IY203" s="456"/>
      <c r="IZ203" s="456"/>
      <c r="JA203" s="456"/>
      <c r="JB203" s="456"/>
      <c r="JC203" s="456"/>
      <c r="JD203" s="456"/>
      <c r="JE203" s="456"/>
      <c r="JF203" s="456"/>
      <c r="JG203" s="456"/>
      <c r="JH203" s="456"/>
      <c r="JI203" s="456"/>
      <c r="JJ203" s="456"/>
      <c r="JK203" s="456"/>
      <c r="JL203" s="456"/>
      <c r="JM203" s="456"/>
      <c r="JN203" s="456"/>
      <c r="JO203" s="456"/>
      <c r="JP203" s="456"/>
      <c r="JQ203" s="456"/>
      <c r="JR203" s="456"/>
      <c r="JS203" s="456"/>
      <c r="JT203" s="456"/>
      <c r="JU203" s="456"/>
      <c r="JV203" s="456"/>
      <c r="JW203" s="456"/>
      <c r="JX203" s="456"/>
      <c r="JY203" s="456"/>
      <c r="JZ203" s="456"/>
      <c r="KA203" s="456"/>
      <c r="KB203" s="456"/>
      <c r="KC203" s="456"/>
      <c r="KD203" s="456"/>
      <c r="KE203" s="456"/>
      <c r="KF203" s="456"/>
    </row>
    <row r="204" spans="1:292" ht="70" customHeight="1">
      <c r="A204" s="371">
        <v>880068</v>
      </c>
      <c r="B204" s="282"/>
      <c r="C204" s="282"/>
      <c r="D204" s="282"/>
      <c r="E204" s="282"/>
      <c r="F204" s="331"/>
      <c r="G204" s="577" t="s">
        <v>488</v>
      </c>
      <c r="H204" s="577"/>
      <c r="I204" s="104" t="s">
        <v>54</v>
      </c>
      <c r="J204" s="156" t="s">
        <v>115</v>
      </c>
      <c r="K204" s="236"/>
      <c r="L204" s="529"/>
      <c r="M204" s="33"/>
      <c r="N204" s="42"/>
      <c r="O204" s="33"/>
      <c r="P204" s="526">
        <v>46179</v>
      </c>
      <c r="Q204" s="637">
        <v>46207</v>
      </c>
      <c r="R204" s="526">
        <v>46221</v>
      </c>
      <c r="S204" s="526"/>
      <c r="T204" s="585">
        <v>46256</v>
      </c>
      <c r="U204" s="372"/>
      <c r="V204" s="277"/>
      <c r="W204" s="211"/>
      <c r="X204" s="456"/>
      <c r="Y204" s="456"/>
      <c r="Z204" s="465"/>
      <c r="AA204" s="465"/>
      <c r="AB204" s="465"/>
      <c r="AC204" s="11"/>
      <c r="AD204" s="465"/>
      <c r="AE204" s="456"/>
      <c r="AF204" s="10"/>
      <c r="AG204" s="456"/>
      <c r="AH204" s="456"/>
      <c r="AI204" s="456"/>
      <c r="AJ204" s="457"/>
      <c r="AK204" s="457"/>
      <c r="AL204" s="456"/>
      <c r="AM204" s="456"/>
      <c r="AN204" s="456"/>
      <c r="AO204" s="456"/>
      <c r="AP204" s="86"/>
      <c r="AQ204" s="86"/>
      <c r="AR204" s="656"/>
      <c r="AS204" s="656"/>
      <c r="AT204" s="86"/>
      <c r="AU204" s="86"/>
      <c r="AV204" s="86"/>
      <c r="AW204" s="86"/>
      <c r="AX204" s="11"/>
      <c r="AY204" s="465"/>
      <c r="AZ204" s="465"/>
      <c r="BA204" s="465"/>
      <c r="BB204" s="465"/>
      <c r="BC204" s="465"/>
      <c r="BD204" s="465"/>
      <c r="BE204" s="465"/>
      <c r="BF204" s="465"/>
      <c r="BG204" s="465"/>
      <c r="BH204" s="465"/>
      <c r="BI204" s="465"/>
      <c r="BJ204" s="465"/>
      <c r="BK204" s="465"/>
      <c r="BL204" s="465"/>
      <c r="BM204" s="465"/>
      <c r="BN204" s="465"/>
      <c r="BO204" s="377"/>
      <c r="BP204" s="465"/>
      <c r="BQ204" s="465"/>
      <c r="BR204" s="465"/>
      <c r="BS204" s="465"/>
      <c r="BT204" s="465"/>
      <c r="BU204" s="465"/>
      <c r="BV204" s="465"/>
      <c r="BW204" s="465"/>
      <c r="BX204" s="465"/>
      <c r="BY204" s="465"/>
      <c r="BZ204" s="465"/>
      <c r="CA204" s="465"/>
      <c r="CB204" s="465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457"/>
      <c r="CN204" s="457"/>
      <c r="CO204" s="25"/>
      <c r="CP204" s="25"/>
      <c r="CQ204" s="456"/>
      <c r="CR204" s="456"/>
      <c r="CS204" s="456"/>
      <c r="CT204" s="456"/>
      <c r="CU204" s="456"/>
      <c r="CV204" s="456"/>
      <c r="CW204" s="456"/>
      <c r="CX204" s="457"/>
      <c r="CY204" s="456"/>
      <c r="CZ204" s="456"/>
      <c r="DA204" s="456"/>
      <c r="DB204" s="26"/>
      <c r="DC204" s="26"/>
      <c r="DD204" s="456"/>
      <c r="DE204" s="456"/>
      <c r="DF204" s="456"/>
      <c r="DG204" s="456"/>
      <c r="DH204" s="456"/>
      <c r="DI204" s="456"/>
      <c r="DJ204" s="630" t="s">
        <v>478</v>
      </c>
      <c r="DK204" s="630"/>
      <c r="DL204" s="630"/>
      <c r="DM204" s="667" t="s">
        <v>479</v>
      </c>
      <c r="DN204" s="668" t="s">
        <v>480</v>
      </c>
      <c r="DO204" s="668"/>
      <c r="DP204" s="671" t="s">
        <v>481</v>
      </c>
      <c r="DQ204" s="671"/>
      <c r="DR204" s="671"/>
      <c r="DS204" s="672" t="s">
        <v>487</v>
      </c>
      <c r="DT204" s="672"/>
      <c r="DU204" s="672"/>
      <c r="DV204" s="456"/>
      <c r="DW204" s="456"/>
      <c r="DX204" s="456"/>
      <c r="DY204" s="456"/>
      <c r="DZ204" s="456"/>
      <c r="EA204" s="456"/>
      <c r="EB204" s="456"/>
      <c r="EC204" s="456"/>
      <c r="ED204" s="456"/>
      <c r="EE204" s="456"/>
      <c r="EF204" s="456"/>
      <c r="EG204" s="456"/>
      <c r="EH204" s="456"/>
      <c r="EI204" s="456"/>
      <c r="EJ204" s="456"/>
      <c r="EK204" s="456"/>
      <c r="EL204" s="457"/>
      <c r="EM204" s="457"/>
      <c r="EN204" s="456"/>
      <c r="EO204" s="456"/>
      <c r="EP204" s="456"/>
      <c r="EQ204" s="456"/>
      <c r="ER204" s="456"/>
      <c r="ES204" s="456"/>
      <c r="ET204" s="456"/>
      <c r="EU204" s="456"/>
      <c r="EV204" s="456"/>
      <c r="EW204" s="456"/>
      <c r="EX204" s="456"/>
      <c r="EY204" s="456"/>
      <c r="EZ204" s="456"/>
      <c r="FA204" s="456"/>
      <c r="FB204" s="456"/>
      <c r="FC204" s="456"/>
      <c r="FD204" s="456"/>
      <c r="FE204" s="456"/>
      <c r="FF204" s="456"/>
      <c r="FG204" s="456"/>
      <c r="FH204" s="456"/>
      <c r="FI204" s="456"/>
      <c r="FJ204" s="456"/>
      <c r="FK204" s="456"/>
      <c r="FL204" s="456"/>
      <c r="FM204" s="456"/>
      <c r="FN204" s="456"/>
      <c r="FO204" s="456"/>
      <c r="FP204" s="456"/>
      <c r="FQ204" s="456"/>
      <c r="FR204" s="456"/>
      <c r="FS204" s="456"/>
      <c r="FT204" s="456"/>
      <c r="FU204" s="456"/>
      <c r="FV204" s="456"/>
      <c r="FW204" s="456"/>
      <c r="FX204" s="456"/>
      <c r="FY204" s="456"/>
      <c r="FZ204" s="456"/>
      <c r="GA204" s="456"/>
      <c r="GB204" s="456"/>
      <c r="GC204" s="456"/>
      <c r="GD204" s="456"/>
      <c r="GE204" s="456"/>
      <c r="GF204" s="456"/>
      <c r="GG204" s="456"/>
      <c r="GH204" s="456"/>
      <c r="GI204" s="456"/>
      <c r="GJ204" s="457"/>
      <c r="GK204" s="457"/>
      <c r="GL204" s="456"/>
      <c r="GM204" s="456"/>
      <c r="GN204" s="456"/>
      <c r="GO204" s="456"/>
      <c r="GP204" s="456"/>
      <c r="GQ204" s="456"/>
      <c r="GR204" s="456"/>
      <c r="GS204" s="456"/>
      <c r="GT204" s="456"/>
      <c r="GU204" s="456"/>
      <c r="GV204" s="456"/>
      <c r="GW204" s="456"/>
      <c r="GX204" s="456"/>
      <c r="GY204" s="456"/>
      <c r="GZ204" s="456"/>
      <c r="HA204" s="456"/>
      <c r="HB204" s="456"/>
      <c r="HC204" s="456"/>
      <c r="HD204" s="456"/>
      <c r="HE204" s="456"/>
      <c r="HF204" s="456"/>
      <c r="HG204" s="456"/>
      <c r="HH204" s="456"/>
      <c r="HI204" s="456"/>
      <c r="HJ204" s="456"/>
      <c r="HK204" s="456"/>
      <c r="HL204" s="456"/>
      <c r="HM204" s="456"/>
      <c r="HN204" s="456"/>
      <c r="HO204" s="456"/>
      <c r="HP204" s="456"/>
      <c r="HQ204" s="456"/>
      <c r="HR204" s="456"/>
      <c r="HS204" s="456"/>
      <c r="HT204" s="456"/>
      <c r="HU204" s="456"/>
      <c r="HV204" s="456"/>
      <c r="HW204" s="456"/>
      <c r="HX204" s="456"/>
      <c r="HY204" s="456"/>
      <c r="HZ204" s="456"/>
      <c r="IA204" s="456"/>
      <c r="IB204" s="456"/>
      <c r="IC204" s="456"/>
      <c r="ID204" s="456"/>
      <c r="IE204" s="456"/>
      <c r="IF204" s="456"/>
      <c r="IG204" s="456"/>
      <c r="IH204" s="456"/>
      <c r="II204" s="456"/>
      <c r="IJ204" s="456"/>
      <c r="IK204" s="456"/>
      <c r="IL204" s="456"/>
      <c r="IM204" s="456"/>
      <c r="IN204" s="457"/>
      <c r="IO204" s="457"/>
      <c r="IP204" s="456"/>
      <c r="IQ204" s="456"/>
      <c r="IR204" s="456"/>
      <c r="IS204" s="456"/>
      <c r="IT204" s="456"/>
      <c r="IU204" s="456"/>
      <c r="IV204" s="456"/>
      <c r="IW204" s="456"/>
      <c r="IX204" s="456"/>
      <c r="IY204" s="456"/>
      <c r="IZ204" s="456"/>
      <c r="JA204" s="456"/>
      <c r="JB204" s="456"/>
      <c r="JC204" s="456"/>
      <c r="JD204" s="456"/>
      <c r="JE204" s="456"/>
      <c r="JF204" s="456"/>
      <c r="JG204" s="456"/>
      <c r="JH204" s="456"/>
      <c r="JI204" s="456"/>
      <c r="JJ204" s="456"/>
      <c r="JK204" s="456"/>
      <c r="JL204" s="456"/>
      <c r="JM204" s="456"/>
      <c r="JN204" s="456"/>
      <c r="JO204" s="456"/>
      <c r="JP204" s="456"/>
      <c r="JQ204" s="456"/>
      <c r="JR204" s="456"/>
      <c r="JS204" s="456"/>
      <c r="JT204" s="456"/>
      <c r="JU204" s="456"/>
      <c r="JV204" s="456"/>
      <c r="JW204" s="456"/>
      <c r="JX204" s="456"/>
      <c r="JY204" s="456"/>
      <c r="JZ204" s="456"/>
      <c r="KA204" s="456"/>
      <c r="KB204" s="456"/>
      <c r="KC204" s="456"/>
      <c r="KD204" s="456"/>
      <c r="KE204" s="456"/>
      <c r="KF204" s="456"/>
    </row>
    <row r="205" spans="1:292" ht="70" customHeight="1">
      <c r="A205" s="371">
        <v>880069</v>
      </c>
      <c r="B205" s="282"/>
      <c r="C205" s="282"/>
      <c r="D205" s="282"/>
      <c r="E205" s="282"/>
      <c r="F205" s="331"/>
      <c r="G205" s="577" t="s">
        <v>55</v>
      </c>
      <c r="H205" s="577"/>
      <c r="I205" s="104" t="s">
        <v>54</v>
      </c>
      <c r="J205" s="156" t="s">
        <v>115</v>
      </c>
      <c r="K205" s="236"/>
      <c r="L205" s="529"/>
      <c r="M205" s="33"/>
      <c r="N205" s="42"/>
      <c r="O205" s="33"/>
      <c r="P205" s="526">
        <v>46202</v>
      </c>
      <c r="Q205" s="637">
        <v>46221</v>
      </c>
      <c r="R205" s="526">
        <v>46235</v>
      </c>
      <c r="S205" s="526"/>
      <c r="T205" s="585">
        <v>46284</v>
      </c>
      <c r="U205" s="372"/>
      <c r="V205" s="277"/>
      <c r="W205" s="211"/>
      <c r="X205" s="456"/>
      <c r="Y205" s="456"/>
      <c r="Z205" s="465"/>
      <c r="AA205" s="465"/>
      <c r="AB205" s="465"/>
      <c r="AC205" s="11"/>
      <c r="AD205" s="465"/>
      <c r="AE205" s="456"/>
      <c r="AF205" s="10"/>
      <c r="AG205" s="456"/>
      <c r="AH205" s="456"/>
      <c r="AI205" s="456"/>
      <c r="AJ205" s="457"/>
      <c r="AK205" s="457"/>
      <c r="AL205" s="456"/>
      <c r="AM205" s="456"/>
      <c r="AN205" s="456"/>
      <c r="AO205" s="456"/>
      <c r="AP205" s="86"/>
      <c r="AQ205" s="86"/>
      <c r="AR205" s="656"/>
      <c r="AS205" s="656"/>
      <c r="AT205" s="86"/>
      <c r="AU205" s="86"/>
      <c r="AV205" s="86"/>
      <c r="AW205" s="86"/>
      <c r="AX205" s="11"/>
      <c r="AY205" s="465"/>
      <c r="AZ205" s="465"/>
      <c r="BA205" s="465"/>
      <c r="BB205" s="465"/>
      <c r="BC205" s="465"/>
      <c r="BD205" s="465"/>
      <c r="BE205" s="465"/>
      <c r="BF205" s="465"/>
      <c r="BG205" s="465"/>
      <c r="BH205" s="465"/>
      <c r="BI205" s="465"/>
      <c r="BJ205" s="465"/>
      <c r="BK205" s="465"/>
      <c r="BL205" s="465"/>
      <c r="BM205" s="465"/>
      <c r="BN205" s="465"/>
      <c r="BO205" s="377"/>
      <c r="BP205" s="465"/>
      <c r="BQ205" s="465"/>
      <c r="BR205" s="465"/>
      <c r="BS205" s="465"/>
      <c r="BT205" s="465"/>
      <c r="BU205" s="465"/>
      <c r="BV205" s="465"/>
      <c r="BW205" s="465"/>
      <c r="BX205" s="465"/>
      <c r="BY205" s="465"/>
      <c r="BZ205" s="465"/>
      <c r="CA205" s="465"/>
      <c r="CB205" s="465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457"/>
      <c r="CN205" s="457"/>
      <c r="CO205" s="25"/>
      <c r="CP205" s="25"/>
      <c r="CQ205" s="456"/>
      <c r="CR205" s="456"/>
      <c r="CS205" s="456"/>
      <c r="CT205" s="456"/>
      <c r="CU205" s="456"/>
      <c r="CV205" s="456"/>
      <c r="CW205" s="456"/>
      <c r="CX205" s="457"/>
      <c r="CY205" s="456"/>
      <c r="CZ205" s="456"/>
      <c r="DA205" s="456"/>
      <c r="DB205" s="26"/>
      <c r="DC205" s="26"/>
      <c r="DD205" s="456"/>
      <c r="DE205" s="456"/>
      <c r="DF205" s="456"/>
      <c r="DG205" s="456"/>
      <c r="DH205" s="26"/>
      <c r="DI205" s="26"/>
      <c r="DJ205" s="456"/>
      <c r="DK205" s="456"/>
      <c r="DL205" s="456"/>
      <c r="DM205" s="630" t="s">
        <v>478</v>
      </c>
      <c r="DN205" s="630"/>
      <c r="DO205" s="630"/>
      <c r="DP205" s="667" t="s">
        <v>479</v>
      </c>
      <c r="DQ205" s="668" t="s">
        <v>480</v>
      </c>
      <c r="DR205" s="668"/>
      <c r="DS205" s="671" t="s">
        <v>481</v>
      </c>
      <c r="DT205" s="671"/>
      <c r="DU205" s="671"/>
      <c r="DV205" s="671"/>
      <c r="DW205" s="671"/>
      <c r="DX205" s="672" t="s">
        <v>487</v>
      </c>
      <c r="DY205" s="672"/>
      <c r="DZ205" s="672"/>
      <c r="EA205" s="456"/>
      <c r="EB205" s="456"/>
      <c r="EC205" s="456"/>
      <c r="ED205" s="456"/>
      <c r="EE205" s="456"/>
      <c r="EF205" s="456"/>
      <c r="EG205" s="456"/>
      <c r="EH205" s="456"/>
      <c r="EI205" s="456"/>
      <c r="EJ205" s="456"/>
      <c r="EK205" s="456"/>
      <c r="EL205" s="457"/>
      <c r="EM205" s="457"/>
      <c r="EN205" s="456"/>
      <c r="EO205" s="456"/>
      <c r="EP205" s="456"/>
      <c r="EQ205" s="456"/>
      <c r="ER205" s="456"/>
      <c r="ES205" s="456"/>
      <c r="ET205" s="456"/>
      <c r="EU205" s="456"/>
      <c r="EV205" s="456"/>
      <c r="EW205" s="456"/>
      <c r="EX205" s="456"/>
      <c r="EY205" s="456"/>
      <c r="EZ205" s="456"/>
      <c r="FA205" s="456"/>
      <c r="FB205" s="456"/>
      <c r="FC205" s="456"/>
      <c r="FD205" s="456"/>
      <c r="FE205" s="456"/>
      <c r="FF205" s="456"/>
      <c r="FG205" s="456"/>
      <c r="FH205" s="456"/>
      <c r="FI205" s="456"/>
      <c r="FJ205" s="456"/>
      <c r="FK205" s="456"/>
      <c r="FL205" s="456"/>
      <c r="FM205" s="456"/>
      <c r="FN205" s="456"/>
      <c r="FO205" s="456"/>
      <c r="FP205" s="456"/>
      <c r="FQ205" s="456"/>
      <c r="FR205" s="456"/>
      <c r="FS205" s="456"/>
      <c r="FT205" s="456"/>
      <c r="FU205" s="456"/>
      <c r="FV205" s="456"/>
      <c r="FW205" s="456"/>
      <c r="FX205" s="456"/>
      <c r="FY205" s="456"/>
      <c r="FZ205" s="456"/>
      <c r="GA205" s="456"/>
      <c r="GB205" s="456"/>
      <c r="GC205" s="456"/>
      <c r="GD205" s="456"/>
      <c r="GE205" s="456"/>
      <c r="GF205" s="456"/>
      <c r="GG205" s="456"/>
      <c r="GH205" s="456"/>
      <c r="GI205" s="456"/>
      <c r="GJ205" s="457"/>
      <c r="GK205" s="457"/>
      <c r="GL205" s="456"/>
      <c r="GM205" s="456"/>
      <c r="GN205" s="456"/>
      <c r="GO205" s="456"/>
      <c r="GP205" s="456"/>
      <c r="GQ205" s="456"/>
      <c r="GR205" s="456"/>
      <c r="GS205" s="456"/>
      <c r="GT205" s="456"/>
      <c r="GU205" s="456"/>
      <c r="GV205" s="456"/>
      <c r="GW205" s="456"/>
      <c r="GX205" s="456"/>
      <c r="GY205" s="456"/>
      <c r="GZ205" s="456"/>
      <c r="HA205" s="456"/>
      <c r="HB205" s="456"/>
      <c r="HC205" s="456"/>
      <c r="HD205" s="456"/>
      <c r="HE205" s="456"/>
      <c r="HF205" s="456"/>
      <c r="HG205" s="456"/>
      <c r="HH205" s="456"/>
      <c r="HI205" s="456"/>
      <c r="HJ205" s="456"/>
      <c r="HK205" s="456"/>
      <c r="HL205" s="456"/>
      <c r="HM205" s="456"/>
      <c r="HN205" s="456"/>
      <c r="HO205" s="456"/>
      <c r="HP205" s="456"/>
      <c r="HQ205" s="456"/>
      <c r="HR205" s="456"/>
      <c r="HS205" s="456"/>
      <c r="HT205" s="456"/>
      <c r="HU205" s="456"/>
      <c r="HV205" s="456"/>
      <c r="HW205" s="456"/>
      <c r="HX205" s="456"/>
      <c r="HY205" s="456"/>
      <c r="HZ205" s="456"/>
      <c r="IA205" s="456"/>
      <c r="IB205" s="456"/>
      <c r="IC205" s="456"/>
      <c r="ID205" s="456"/>
      <c r="IE205" s="456"/>
      <c r="IF205" s="456"/>
      <c r="IG205" s="456"/>
      <c r="IH205" s="456"/>
      <c r="II205" s="456"/>
      <c r="IJ205" s="456"/>
      <c r="IK205" s="456"/>
      <c r="IL205" s="456"/>
      <c r="IM205" s="456"/>
      <c r="IN205" s="457"/>
      <c r="IO205" s="457"/>
      <c r="IP205" s="456"/>
      <c r="IQ205" s="456"/>
      <c r="IR205" s="456"/>
      <c r="IS205" s="456"/>
      <c r="IT205" s="456"/>
      <c r="IU205" s="456"/>
      <c r="IV205" s="456"/>
      <c r="IW205" s="456"/>
      <c r="IX205" s="456"/>
      <c r="IY205" s="456"/>
      <c r="IZ205" s="456"/>
      <c r="JA205" s="456"/>
      <c r="JB205" s="456"/>
      <c r="JC205" s="456"/>
      <c r="JD205" s="456"/>
      <c r="JE205" s="456"/>
      <c r="JF205" s="456"/>
      <c r="JG205" s="456"/>
      <c r="JH205" s="456"/>
      <c r="JI205" s="456"/>
      <c r="JJ205" s="456"/>
      <c r="JK205" s="456"/>
      <c r="JL205" s="456"/>
      <c r="JM205" s="456"/>
      <c r="JN205" s="456"/>
      <c r="JO205" s="456"/>
      <c r="JP205" s="456"/>
      <c r="JQ205" s="456"/>
      <c r="JR205" s="456"/>
      <c r="JS205" s="456"/>
      <c r="JT205" s="456"/>
      <c r="JU205" s="456"/>
      <c r="JV205" s="456"/>
      <c r="JW205" s="456"/>
      <c r="JX205" s="456"/>
      <c r="JY205" s="456"/>
      <c r="JZ205" s="456"/>
      <c r="KA205" s="456"/>
      <c r="KB205" s="456"/>
      <c r="KC205" s="456"/>
      <c r="KD205" s="456"/>
      <c r="KE205" s="456"/>
      <c r="KF205" s="456"/>
    </row>
    <row r="206" spans="1:292" s="665" customFormat="1" ht="70" customHeight="1">
      <c r="A206" s="379"/>
      <c r="B206" s="380"/>
      <c r="C206" s="380"/>
      <c r="D206" s="380"/>
      <c r="E206" s="380"/>
      <c r="F206" s="381"/>
      <c r="G206" s="660"/>
      <c r="H206" s="660"/>
      <c r="I206" s="97"/>
      <c r="J206" s="161"/>
      <c r="K206" s="251"/>
      <c r="L206" s="661"/>
      <c r="M206" s="98"/>
      <c r="N206" s="148"/>
      <c r="O206" s="99"/>
      <c r="P206" s="662"/>
      <c r="Q206" s="662"/>
      <c r="R206" s="662"/>
      <c r="S206" s="662"/>
      <c r="T206" s="662"/>
      <c r="U206" s="382"/>
      <c r="V206" s="278"/>
      <c r="W206" s="220"/>
      <c r="X206" s="663"/>
      <c r="Y206" s="663"/>
      <c r="Z206" s="663"/>
      <c r="AA206" s="663"/>
      <c r="AB206" s="663"/>
      <c r="AC206" s="100"/>
      <c r="AD206" s="663"/>
      <c r="AE206" s="663"/>
      <c r="AF206" s="100"/>
      <c r="AG206" s="663"/>
      <c r="AH206" s="663"/>
      <c r="AI206" s="663"/>
      <c r="AJ206" s="663"/>
      <c r="AK206" s="663"/>
      <c r="AL206" s="663"/>
      <c r="AM206" s="663"/>
      <c r="AN206" s="663"/>
      <c r="AO206" s="663"/>
      <c r="AP206" s="101"/>
      <c r="AQ206" s="101"/>
      <c r="AR206" s="664"/>
      <c r="AS206" s="664"/>
      <c r="AT206" s="101"/>
      <c r="AU206" s="101"/>
      <c r="AV206" s="101"/>
      <c r="AW206" s="101"/>
      <c r="AX206" s="100"/>
      <c r="AY206" s="663"/>
      <c r="AZ206" s="663"/>
      <c r="BA206" s="663"/>
      <c r="BB206" s="663"/>
      <c r="BC206" s="663"/>
      <c r="BD206" s="663"/>
      <c r="BE206" s="663"/>
      <c r="BF206" s="663"/>
      <c r="BG206" s="663"/>
      <c r="BH206" s="663"/>
      <c r="BI206" s="663"/>
      <c r="BJ206" s="663"/>
      <c r="BK206" s="663"/>
      <c r="BL206" s="663"/>
      <c r="BM206" s="663"/>
      <c r="BN206" s="663"/>
      <c r="BO206" s="383"/>
      <c r="BP206" s="663"/>
      <c r="BQ206" s="663"/>
      <c r="BR206" s="663"/>
      <c r="BS206" s="663"/>
      <c r="BT206" s="663"/>
      <c r="BU206" s="663"/>
      <c r="BV206" s="663"/>
      <c r="BW206" s="663"/>
      <c r="BX206" s="663"/>
      <c r="BY206" s="663"/>
      <c r="BZ206" s="663"/>
      <c r="CA206" s="663"/>
      <c r="CB206" s="663"/>
      <c r="CC206" s="663"/>
      <c r="CD206" s="663"/>
      <c r="CE206" s="663"/>
      <c r="CF206" s="663"/>
      <c r="CG206" s="663"/>
      <c r="CH206" s="663"/>
      <c r="CI206" s="663"/>
      <c r="CJ206" s="663"/>
      <c r="CK206" s="663"/>
      <c r="CL206" s="663"/>
      <c r="CM206" s="663"/>
      <c r="CN206" s="663"/>
      <c r="CO206" s="663"/>
      <c r="CP206" s="663"/>
      <c r="CQ206" s="663"/>
      <c r="CR206" s="663"/>
      <c r="CS206" s="663"/>
      <c r="CT206" s="663"/>
      <c r="CU206" s="663"/>
      <c r="CV206" s="663"/>
      <c r="CW206" s="102"/>
      <c r="CX206" s="663"/>
      <c r="CY206" s="663"/>
      <c r="CZ206" s="663"/>
      <c r="DA206" s="663"/>
      <c r="DB206" s="663"/>
      <c r="DC206" s="663"/>
      <c r="DD206" s="663"/>
      <c r="DE206" s="663"/>
      <c r="DF206" s="663"/>
      <c r="DG206" s="663"/>
      <c r="DH206" s="663"/>
      <c r="DI206" s="663"/>
      <c r="DJ206" s="663"/>
      <c r="DK206" s="663"/>
      <c r="DL206" s="663"/>
      <c r="DM206" s="663"/>
      <c r="DN206" s="663"/>
      <c r="DO206" s="663"/>
      <c r="DP206" s="663"/>
      <c r="DQ206" s="663"/>
      <c r="DR206" s="100"/>
      <c r="DS206" s="663"/>
      <c r="DT206" s="663"/>
      <c r="DU206" s="663"/>
      <c r="DV206" s="663"/>
      <c r="DW206" s="663"/>
      <c r="DX206" s="663"/>
      <c r="DY206" s="663"/>
      <c r="DZ206" s="663"/>
      <c r="EA206" s="663"/>
      <c r="EB206" s="663"/>
      <c r="EC206" s="663"/>
      <c r="ED206" s="663"/>
      <c r="EE206" s="663"/>
      <c r="EF206" s="663"/>
      <c r="EG206" s="663"/>
      <c r="EH206" s="663"/>
      <c r="EI206" s="663"/>
      <c r="EJ206" s="663"/>
      <c r="EK206" s="663"/>
      <c r="EL206" s="663"/>
      <c r="EM206" s="663"/>
      <c r="EN206" s="663"/>
      <c r="EO206" s="663"/>
      <c r="EP206" s="663"/>
      <c r="EQ206" s="663"/>
      <c r="ER206" s="663"/>
      <c r="ES206" s="663"/>
      <c r="ET206" s="663"/>
      <c r="EU206" s="663"/>
      <c r="EV206" s="663"/>
      <c r="EW206" s="663"/>
      <c r="EX206" s="663"/>
      <c r="EY206" s="663"/>
      <c r="EZ206" s="663"/>
      <c r="FA206" s="663"/>
      <c r="FB206" s="663"/>
      <c r="FC206" s="663"/>
      <c r="FD206" s="663"/>
      <c r="FE206" s="663"/>
      <c r="FF206" s="663"/>
      <c r="FG206" s="663"/>
      <c r="FH206" s="663"/>
      <c r="FI206" s="663"/>
      <c r="FJ206" s="663"/>
      <c r="FK206" s="663"/>
      <c r="FL206" s="663"/>
      <c r="FM206" s="663"/>
      <c r="FN206" s="663"/>
      <c r="FO206" s="663"/>
      <c r="FP206" s="663"/>
      <c r="FQ206" s="663"/>
      <c r="FR206" s="663"/>
      <c r="FS206" s="663"/>
      <c r="FT206" s="663"/>
      <c r="FU206" s="663"/>
      <c r="FV206" s="663"/>
      <c r="FW206" s="663"/>
      <c r="FX206" s="663"/>
      <c r="FY206" s="663"/>
      <c r="FZ206" s="663"/>
      <c r="GA206" s="663"/>
      <c r="GB206" s="663"/>
      <c r="GC206" s="663"/>
      <c r="GD206" s="663"/>
      <c r="GE206" s="663"/>
      <c r="GF206" s="663"/>
      <c r="GG206" s="663"/>
      <c r="GH206" s="663"/>
      <c r="GI206" s="663"/>
      <c r="GJ206" s="663"/>
      <c r="GK206" s="663"/>
      <c r="GL206" s="663"/>
      <c r="GM206" s="663"/>
      <c r="GN206" s="663"/>
      <c r="GO206" s="663"/>
      <c r="GP206" s="663"/>
      <c r="GQ206" s="663"/>
      <c r="GR206" s="663"/>
      <c r="GS206" s="663"/>
      <c r="GT206" s="663"/>
      <c r="GU206" s="663"/>
      <c r="GV206" s="663"/>
      <c r="GW206" s="663"/>
      <c r="GX206" s="663"/>
      <c r="GY206" s="663"/>
      <c r="GZ206" s="663"/>
      <c r="HA206" s="663"/>
      <c r="HB206" s="663"/>
      <c r="HC206" s="663"/>
      <c r="HD206" s="663"/>
      <c r="HE206" s="663"/>
      <c r="HF206" s="663"/>
      <c r="HG206" s="663"/>
      <c r="HH206" s="663"/>
      <c r="HI206" s="663"/>
      <c r="HJ206" s="663"/>
      <c r="HK206" s="663"/>
      <c r="HL206" s="663"/>
      <c r="HM206" s="663"/>
      <c r="HN206" s="663"/>
      <c r="HO206" s="663"/>
      <c r="HP206" s="663"/>
      <c r="HQ206" s="663"/>
      <c r="HR206" s="663"/>
      <c r="HS206" s="663"/>
      <c r="HT206" s="663"/>
      <c r="HU206" s="663"/>
      <c r="HV206" s="663"/>
      <c r="HW206" s="663"/>
      <c r="HX206" s="663"/>
      <c r="HY206" s="663"/>
      <c r="HZ206" s="663"/>
      <c r="IA206" s="663"/>
      <c r="IB206" s="663"/>
      <c r="IC206" s="663"/>
      <c r="ID206" s="663"/>
      <c r="IE206" s="663"/>
      <c r="IF206" s="663"/>
      <c r="IG206" s="663"/>
      <c r="IH206" s="663"/>
      <c r="II206" s="663"/>
      <c r="IJ206" s="663"/>
      <c r="IK206" s="663"/>
      <c r="IL206" s="663"/>
      <c r="IM206" s="663"/>
      <c r="IN206" s="663"/>
      <c r="IO206" s="663"/>
      <c r="IP206" s="663"/>
      <c r="IQ206" s="663"/>
      <c r="IR206" s="663"/>
      <c r="IS206" s="663"/>
      <c r="IT206" s="663"/>
      <c r="IU206" s="663"/>
      <c r="IV206" s="663"/>
      <c r="IW206" s="663"/>
      <c r="IX206" s="663"/>
      <c r="IY206" s="663"/>
      <c r="IZ206" s="663"/>
      <c r="JA206" s="663"/>
      <c r="JB206" s="663"/>
      <c r="JC206" s="663"/>
      <c r="JD206" s="663"/>
      <c r="JE206" s="663"/>
      <c r="JF206" s="663"/>
      <c r="JG206" s="663"/>
      <c r="JH206" s="663"/>
      <c r="JI206" s="663"/>
      <c r="JJ206" s="663"/>
      <c r="JK206" s="663"/>
      <c r="JL206" s="663"/>
      <c r="JM206" s="663"/>
      <c r="JN206" s="663"/>
      <c r="JO206" s="663"/>
      <c r="JP206" s="663"/>
      <c r="JQ206" s="663"/>
      <c r="JR206" s="663"/>
      <c r="JS206" s="663"/>
      <c r="JT206" s="663"/>
      <c r="JU206" s="663"/>
      <c r="JV206" s="663"/>
      <c r="JW206" s="663"/>
      <c r="JX206" s="663"/>
      <c r="JY206" s="663"/>
      <c r="JZ206" s="663"/>
      <c r="KA206" s="663"/>
      <c r="KB206" s="663"/>
      <c r="KC206" s="663"/>
      <c r="KD206" s="663"/>
      <c r="KE206" s="663"/>
      <c r="KF206" s="663"/>
    </row>
    <row r="207" spans="1:292" ht="70" customHeight="1">
      <c r="A207" s="371">
        <v>320029</v>
      </c>
      <c r="B207" s="282"/>
      <c r="C207" s="282"/>
      <c r="D207" s="282"/>
      <c r="E207" s="282"/>
      <c r="F207" s="331"/>
      <c r="G207" s="577" t="s">
        <v>489</v>
      </c>
      <c r="H207" s="577"/>
      <c r="I207" s="104" t="s">
        <v>54</v>
      </c>
      <c r="J207" s="156" t="s">
        <v>115</v>
      </c>
      <c r="K207" s="236"/>
      <c r="L207" s="529"/>
      <c r="M207" s="33"/>
      <c r="N207" s="42"/>
      <c r="O207" s="33"/>
      <c r="P207" s="526"/>
      <c r="Q207" s="637"/>
      <c r="R207" s="526"/>
      <c r="S207" s="526"/>
      <c r="T207" s="585"/>
      <c r="U207" s="372"/>
      <c r="V207" s="277" t="s">
        <v>496</v>
      </c>
      <c r="W207" s="211"/>
      <c r="X207" s="456"/>
      <c r="Y207" s="456"/>
      <c r="Z207" s="465"/>
      <c r="AA207" s="465"/>
      <c r="AB207" s="465"/>
      <c r="AC207" s="11"/>
      <c r="AD207" s="465"/>
      <c r="AE207" s="456"/>
      <c r="AF207" s="10"/>
      <c r="AG207" s="456"/>
      <c r="AH207" s="456"/>
      <c r="AI207" s="456"/>
      <c r="AJ207" s="457"/>
      <c r="AK207" s="457"/>
      <c r="AL207" s="456"/>
      <c r="AM207" s="456"/>
      <c r="AN207" s="456"/>
      <c r="AO207" s="456"/>
      <c r="AP207" s="86"/>
      <c r="AQ207" s="86"/>
      <c r="AR207" s="656"/>
      <c r="AS207" s="656"/>
      <c r="AT207" s="86"/>
      <c r="AU207" s="86"/>
      <c r="AV207" s="86"/>
      <c r="AW207" s="86"/>
      <c r="AX207" s="11"/>
      <c r="AY207" s="465"/>
      <c r="AZ207" s="465"/>
      <c r="BA207" s="465"/>
      <c r="BB207" s="465"/>
      <c r="BC207" s="465"/>
      <c r="BD207" s="465"/>
      <c r="BE207" s="465"/>
      <c r="BF207" s="465"/>
      <c r="BG207" s="465"/>
      <c r="BH207" s="465"/>
      <c r="BI207" s="465"/>
      <c r="BJ207" s="465"/>
      <c r="BK207" s="465"/>
      <c r="BL207" s="465"/>
      <c r="BM207" s="465"/>
      <c r="BN207" s="465"/>
      <c r="BO207" s="377"/>
      <c r="BP207" s="465"/>
      <c r="BQ207" s="465"/>
      <c r="BR207" s="465"/>
      <c r="BS207" s="465"/>
      <c r="BT207" s="465"/>
      <c r="BU207" s="465"/>
      <c r="BV207" s="465"/>
      <c r="BW207" s="465"/>
      <c r="BX207" s="465"/>
      <c r="BY207" s="465"/>
      <c r="BZ207" s="465"/>
      <c r="CA207" s="465"/>
      <c r="CB207" s="465"/>
      <c r="CC207" s="465"/>
      <c r="CD207" s="465"/>
      <c r="CE207" s="465"/>
      <c r="CF207" s="465"/>
      <c r="CG207" s="465"/>
      <c r="CH207" s="465"/>
      <c r="CI207" s="465"/>
      <c r="CJ207" s="465"/>
      <c r="CK207" s="465"/>
      <c r="CL207" s="465"/>
      <c r="CM207" s="457"/>
      <c r="CN207" s="457"/>
      <c r="CO207" s="465"/>
      <c r="CP207" s="465"/>
      <c r="CQ207" s="465"/>
      <c r="CR207" s="465"/>
      <c r="CS207" s="465"/>
      <c r="CT207" s="465"/>
      <c r="CU207" s="465"/>
      <c r="CV207" s="465"/>
      <c r="CW207" s="2"/>
      <c r="CX207" s="457"/>
      <c r="CY207" s="465"/>
      <c r="CZ207" s="465"/>
      <c r="DA207" s="465"/>
      <c r="DB207" s="465"/>
      <c r="DC207" s="465"/>
      <c r="DD207" s="456"/>
      <c r="DE207" s="456"/>
      <c r="DF207" s="456"/>
      <c r="DG207" s="456"/>
      <c r="DH207" s="456"/>
      <c r="DI207" s="456"/>
      <c r="DJ207" s="456"/>
      <c r="DK207" s="456"/>
      <c r="DL207" s="456"/>
      <c r="DM207" s="456"/>
      <c r="DN207" s="456"/>
      <c r="DO207" s="456"/>
      <c r="DP207" s="456"/>
      <c r="DQ207" s="456"/>
      <c r="DR207" s="10"/>
      <c r="DS207" s="456"/>
      <c r="DT207" s="456"/>
      <c r="DU207" s="456"/>
      <c r="DV207" s="456"/>
      <c r="DW207" s="456"/>
      <c r="DX207" s="456"/>
      <c r="DY207" s="456"/>
      <c r="DZ207" s="456"/>
      <c r="EA207" s="456"/>
      <c r="EB207" s="456"/>
      <c r="EC207" s="456"/>
      <c r="ED207" s="456"/>
      <c r="EE207" s="456"/>
      <c r="EF207" s="456"/>
      <c r="EG207" s="456"/>
      <c r="EH207" s="456"/>
      <c r="EI207" s="456"/>
      <c r="EJ207" s="456"/>
      <c r="EK207" s="456"/>
      <c r="EL207" s="457"/>
      <c r="EM207" s="457"/>
      <c r="EN207" s="456"/>
      <c r="EO207" s="456"/>
      <c r="EP207" s="456"/>
      <c r="EQ207" s="456"/>
      <c r="ER207" s="456"/>
      <c r="ES207" s="456"/>
      <c r="ET207" s="456"/>
      <c r="EU207" s="456"/>
      <c r="EV207" s="456"/>
      <c r="EW207" s="456"/>
      <c r="EX207" s="456"/>
      <c r="EY207" s="456"/>
      <c r="EZ207" s="456"/>
      <c r="FA207" s="456"/>
      <c r="FB207" s="456"/>
      <c r="FC207" s="456"/>
      <c r="FD207" s="456"/>
      <c r="FE207" s="456"/>
      <c r="FF207" s="456"/>
      <c r="FG207" s="456"/>
      <c r="FH207" s="456"/>
      <c r="FI207" s="456"/>
      <c r="FJ207" s="456"/>
      <c r="FK207" s="456"/>
      <c r="FL207" s="456"/>
      <c r="FM207" s="456"/>
      <c r="FN207" s="456"/>
      <c r="FO207" s="456"/>
      <c r="FP207" s="456"/>
      <c r="FQ207" s="456"/>
      <c r="FR207" s="456"/>
      <c r="FS207" s="456"/>
      <c r="FT207" s="456"/>
      <c r="FU207" s="456"/>
      <c r="FV207" s="456"/>
      <c r="FW207" s="456"/>
      <c r="FX207" s="456"/>
      <c r="FY207" s="456"/>
      <c r="FZ207" s="456"/>
      <c r="GA207" s="456"/>
      <c r="GB207" s="456"/>
      <c r="GC207" s="456"/>
      <c r="GD207" s="456"/>
      <c r="GE207" s="456"/>
      <c r="GF207" s="456"/>
      <c r="GG207" s="456"/>
      <c r="GH207" s="456"/>
      <c r="GI207" s="456"/>
      <c r="GJ207" s="457"/>
      <c r="GK207" s="457"/>
      <c r="GL207" s="456"/>
      <c r="GM207" s="456"/>
      <c r="GN207" s="456"/>
      <c r="GO207" s="456"/>
      <c r="GP207" s="456"/>
      <c r="GQ207" s="456"/>
      <c r="GR207" s="456"/>
      <c r="GS207" s="456"/>
      <c r="GT207" s="456"/>
      <c r="GU207" s="456"/>
      <c r="GV207" s="456"/>
      <c r="GW207" s="456"/>
      <c r="GX207" s="456"/>
      <c r="GY207" s="456"/>
      <c r="GZ207" s="456"/>
      <c r="HA207" s="456"/>
      <c r="HB207" s="456"/>
      <c r="HC207" s="456"/>
      <c r="HD207" s="456"/>
      <c r="HE207" s="456"/>
      <c r="HF207" s="456"/>
      <c r="HG207" s="456"/>
      <c r="HH207" s="456"/>
      <c r="HI207" s="456"/>
      <c r="HJ207" s="456"/>
      <c r="HK207" s="456"/>
      <c r="HL207" s="456"/>
      <c r="HM207" s="456"/>
      <c r="HN207" s="456"/>
      <c r="HO207" s="456"/>
      <c r="HP207" s="456"/>
      <c r="HQ207" s="456"/>
      <c r="HR207" s="456"/>
      <c r="HS207" s="456"/>
      <c r="HT207" s="456"/>
      <c r="HU207" s="456"/>
      <c r="HV207" s="456"/>
      <c r="HW207" s="456"/>
      <c r="HX207" s="456"/>
      <c r="HY207" s="456"/>
      <c r="HZ207" s="456"/>
      <c r="IA207" s="456"/>
      <c r="IB207" s="456"/>
      <c r="IC207" s="456"/>
      <c r="ID207" s="456"/>
      <c r="IE207" s="456"/>
      <c r="IF207" s="456"/>
      <c r="IG207" s="456"/>
      <c r="IH207" s="456"/>
      <c r="II207" s="456"/>
      <c r="IJ207" s="456"/>
      <c r="IK207" s="456"/>
      <c r="IL207" s="456"/>
      <c r="IM207" s="456"/>
      <c r="IN207" s="457"/>
      <c r="IO207" s="457"/>
      <c r="IP207" s="456"/>
      <c r="IQ207" s="456"/>
      <c r="IR207" s="456"/>
      <c r="IS207" s="456"/>
      <c r="IT207" s="456"/>
      <c r="IU207" s="456"/>
      <c r="IV207" s="456"/>
      <c r="IW207" s="456"/>
      <c r="IX207" s="456"/>
      <c r="IY207" s="456"/>
      <c r="IZ207" s="456"/>
      <c r="JA207" s="456"/>
      <c r="JB207" s="456"/>
      <c r="JC207" s="456"/>
      <c r="JD207" s="456"/>
      <c r="JE207" s="456"/>
      <c r="JF207" s="456"/>
      <c r="JG207" s="456"/>
      <c r="JH207" s="456"/>
      <c r="JI207" s="456"/>
      <c r="JJ207" s="456"/>
      <c r="JK207" s="456"/>
      <c r="JL207" s="456"/>
      <c r="JM207" s="456"/>
      <c r="JN207" s="456"/>
      <c r="JO207" s="456"/>
      <c r="JP207" s="456"/>
      <c r="JQ207" s="456"/>
      <c r="JR207" s="456"/>
      <c r="JS207" s="456"/>
      <c r="JT207" s="456"/>
      <c r="JU207" s="456"/>
      <c r="JV207" s="456"/>
      <c r="JW207" s="456"/>
      <c r="JX207" s="456"/>
      <c r="JY207" s="456"/>
      <c r="JZ207" s="456"/>
      <c r="KA207" s="456"/>
      <c r="KB207" s="456"/>
      <c r="KC207" s="456"/>
      <c r="KD207" s="456"/>
      <c r="KE207" s="456"/>
      <c r="KF207" s="456"/>
    </row>
    <row r="208" spans="1:292" s="119" customFormat="1" ht="70" customHeight="1">
      <c r="A208" s="384">
        <v>320030</v>
      </c>
      <c r="B208" s="385"/>
      <c r="C208" s="385"/>
      <c r="D208" s="385"/>
      <c r="E208" s="385"/>
      <c r="F208" s="386">
        <v>46015</v>
      </c>
      <c r="G208" s="75" t="s">
        <v>489</v>
      </c>
      <c r="H208" s="75"/>
      <c r="I208" s="111" t="s">
        <v>725</v>
      </c>
      <c r="J208" s="212" t="s">
        <v>498</v>
      </c>
      <c r="K208" s="252"/>
      <c r="L208" s="387"/>
      <c r="M208" s="33"/>
      <c r="N208" s="42"/>
      <c r="O208" s="33"/>
      <c r="P208" s="36"/>
      <c r="Q208" s="112"/>
      <c r="R208" s="36"/>
      <c r="S208" s="36"/>
      <c r="T208" s="65">
        <v>46081</v>
      </c>
      <c r="U208" s="388"/>
      <c r="V208" s="277" t="s">
        <v>688</v>
      </c>
      <c r="W208" s="212"/>
      <c r="X208" s="113"/>
      <c r="Y208" s="113"/>
      <c r="Z208" s="114"/>
      <c r="AA208" s="114"/>
      <c r="AB208" s="114"/>
      <c r="AC208" s="115"/>
      <c r="AD208" s="114"/>
      <c r="AE208" s="113"/>
      <c r="AF208" s="113"/>
      <c r="AG208" s="113"/>
      <c r="AH208" s="113"/>
      <c r="AI208" s="113"/>
      <c r="AJ208" s="116"/>
      <c r="AK208" s="116"/>
      <c r="AL208" s="113"/>
      <c r="AM208" s="113"/>
      <c r="AN208" s="113"/>
      <c r="AO208" s="113"/>
      <c r="AP208" s="117"/>
      <c r="AQ208" s="117"/>
      <c r="AR208" s="118"/>
      <c r="AS208" s="118"/>
      <c r="AT208" s="117"/>
      <c r="AU208" s="117"/>
      <c r="AV208" s="117"/>
      <c r="AW208" s="117"/>
      <c r="AX208" s="115"/>
      <c r="AY208" s="114"/>
      <c r="AZ208" s="114"/>
      <c r="BA208" s="114"/>
      <c r="BB208" s="114"/>
      <c r="BC208" s="114"/>
      <c r="BD208" s="114"/>
      <c r="BE208" s="114"/>
      <c r="BF208" s="114"/>
      <c r="BG208" s="114"/>
      <c r="BH208" s="114"/>
      <c r="BI208" s="114"/>
      <c r="BJ208" s="114"/>
      <c r="BK208" s="114"/>
      <c r="BL208" s="114"/>
      <c r="BM208" s="114"/>
      <c r="BN208" s="114"/>
      <c r="BO208" s="389"/>
      <c r="BP208" s="114"/>
      <c r="BQ208" s="114"/>
      <c r="BR208" s="114"/>
      <c r="BS208" s="114"/>
      <c r="BT208" s="114"/>
      <c r="BU208" s="114"/>
      <c r="BV208" s="114"/>
      <c r="BW208" s="114"/>
      <c r="BX208" s="114"/>
      <c r="BY208" s="114"/>
      <c r="BZ208" s="114"/>
      <c r="CA208" s="114"/>
      <c r="CB208" s="114"/>
      <c r="CC208" s="114"/>
      <c r="CD208" s="114"/>
      <c r="CE208" s="114"/>
      <c r="CF208" s="114"/>
      <c r="CG208" s="114"/>
      <c r="CH208" s="114"/>
      <c r="CI208" s="114"/>
      <c r="CJ208" s="114"/>
      <c r="CK208" s="114"/>
      <c r="CL208" s="114"/>
      <c r="CM208" s="116"/>
      <c r="CN208" s="116"/>
      <c r="CO208" s="114"/>
      <c r="CP208" s="672" t="s">
        <v>487</v>
      </c>
      <c r="CQ208" s="672"/>
      <c r="CR208" s="672"/>
      <c r="CS208" s="672"/>
      <c r="CT208" s="114"/>
      <c r="CU208" s="114"/>
      <c r="CV208" s="114"/>
      <c r="CW208" s="114"/>
      <c r="CX208" s="457"/>
      <c r="CY208" s="114"/>
      <c r="CZ208" s="114"/>
      <c r="DA208" s="114"/>
      <c r="DB208" s="114"/>
      <c r="DC208" s="114"/>
      <c r="DD208" s="113"/>
      <c r="DE208" s="113"/>
      <c r="DF208" s="113"/>
      <c r="DG208" s="113"/>
      <c r="DH208" s="113"/>
      <c r="DI208" s="113"/>
      <c r="DJ208" s="113"/>
      <c r="DK208" s="113"/>
      <c r="DL208" s="113"/>
      <c r="DM208" s="113"/>
      <c r="DN208" s="113"/>
      <c r="DO208" s="113"/>
      <c r="DP208" s="113"/>
      <c r="DQ208" s="113"/>
      <c r="DR208" s="113"/>
      <c r="DS208" s="113"/>
      <c r="DT208" s="113"/>
      <c r="DU208" s="113"/>
      <c r="DV208" s="113"/>
      <c r="DW208" s="113"/>
      <c r="DX208" s="113"/>
      <c r="DY208" s="113"/>
      <c r="DZ208" s="113"/>
      <c r="EA208" s="113"/>
      <c r="EB208" s="113"/>
      <c r="EC208" s="113"/>
      <c r="ED208" s="113"/>
      <c r="EE208" s="113"/>
      <c r="EF208" s="113"/>
      <c r="EG208" s="113"/>
      <c r="EH208" s="113"/>
      <c r="EI208" s="113"/>
      <c r="EJ208" s="113"/>
      <c r="EK208" s="113"/>
      <c r="EL208" s="116"/>
      <c r="EM208" s="116"/>
      <c r="EN208" s="113"/>
      <c r="EO208" s="113"/>
      <c r="EP208" s="113"/>
      <c r="EQ208" s="113"/>
      <c r="ER208" s="113"/>
      <c r="ES208" s="113"/>
      <c r="ET208" s="113"/>
      <c r="EU208" s="113"/>
      <c r="EV208" s="113"/>
      <c r="EW208" s="113"/>
      <c r="EX208" s="113"/>
      <c r="EY208" s="113"/>
      <c r="EZ208" s="113"/>
      <c r="FA208" s="113"/>
      <c r="FB208" s="113"/>
      <c r="FC208" s="113"/>
      <c r="FD208" s="113"/>
      <c r="FE208" s="113"/>
      <c r="FF208" s="113"/>
      <c r="FG208" s="113"/>
      <c r="FH208" s="113"/>
      <c r="FI208" s="113"/>
      <c r="FJ208" s="113"/>
      <c r="FK208" s="113"/>
      <c r="FL208" s="113"/>
      <c r="FM208" s="113"/>
      <c r="FN208" s="113"/>
      <c r="FO208" s="113"/>
      <c r="FP208" s="113"/>
      <c r="FQ208" s="113"/>
      <c r="FR208" s="113"/>
      <c r="FS208" s="113"/>
      <c r="FT208" s="113"/>
      <c r="FU208" s="113"/>
      <c r="FV208" s="113"/>
      <c r="FW208" s="113"/>
      <c r="FX208" s="113"/>
      <c r="FY208" s="113"/>
      <c r="FZ208" s="113"/>
      <c r="GA208" s="113"/>
      <c r="GB208" s="113"/>
      <c r="GC208" s="113"/>
      <c r="GD208" s="113"/>
      <c r="GE208" s="113"/>
      <c r="GF208" s="113"/>
      <c r="GG208" s="113"/>
      <c r="GH208" s="113"/>
      <c r="GI208" s="113"/>
      <c r="GJ208" s="457"/>
      <c r="GK208" s="457"/>
      <c r="GL208" s="113"/>
      <c r="GM208" s="113"/>
      <c r="GN208" s="113"/>
      <c r="GO208" s="113"/>
      <c r="GP208" s="113"/>
      <c r="GQ208" s="113"/>
      <c r="GR208" s="113"/>
      <c r="GS208" s="113"/>
      <c r="GT208" s="113"/>
      <c r="GU208" s="113"/>
      <c r="GV208" s="113"/>
      <c r="GW208" s="113"/>
      <c r="GX208" s="113"/>
      <c r="GY208" s="113"/>
      <c r="GZ208" s="113"/>
      <c r="HA208" s="113"/>
      <c r="HB208" s="113"/>
      <c r="HC208" s="113"/>
      <c r="HD208" s="113"/>
      <c r="HE208" s="113"/>
      <c r="HF208" s="113"/>
      <c r="HG208" s="113"/>
      <c r="HH208" s="113"/>
      <c r="HI208" s="113"/>
      <c r="HJ208" s="113"/>
      <c r="HK208" s="113"/>
      <c r="HL208" s="113"/>
      <c r="HM208" s="113"/>
      <c r="HN208" s="113"/>
      <c r="HO208" s="113"/>
      <c r="HP208" s="113"/>
      <c r="HQ208" s="113"/>
      <c r="HR208" s="113"/>
      <c r="HS208" s="113"/>
      <c r="HT208" s="113"/>
      <c r="HU208" s="113"/>
      <c r="HV208" s="113"/>
      <c r="HW208" s="113"/>
      <c r="HX208" s="113"/>
      <c r="HY208" s="113"/>
      <c r="HZ208" s="113"/>
      <c r="IA208" s="113"/>
      <c r="IB208" s="113"/>
      <c r="IC208" s="113"/>
      <c r="ID208" s="113"/>
      <c r="IE208" s="113"/>
      <c r="IF208" s="113"/>
      <c r="IG208" s="113"/>
      <c r="IH208" s="113"/>
      <c r="II208" s="113"/>
      <c r="IJ208" s="113"/>
      <c r="IK208" s="113"/>
      <c r="IL208" s="113"/>
      <c r="IM208" s="113"/>
      <c r="IN208" s="457"/>
      <c r="IO208" s="457"/>
      <c r="IP208" s="113"/>
      <c r="IQ208" s="113"/>
      <c r="IR208" s="113"/>
      <c r="IS208" s="113"/>
      <c r="IT208" s="113"/>
      <c r="IU208" s="113"/>
      <c r="IV208" s="113"/>
      <c r="IW208" s="113"/>
      <c r="IX208" s="113"/>
      <c r="IY208" s="113"/>
      <c r="IZ208" s="113"/>
      <c r="JA208" s="113"/>
      <c r="JB208" s="113"/>
      <c r="JC208" s="113"/>
      <c r="JD208" s="113"/>
      <c r="JE208" s="113"/>
      <c r="JF208" s="113"/>
      <c r="JG208" s="113"/>
      <c r="JH208" s="113"/>
      <c r="JI208" s="113"/>
      <c r="JJ208" s="113"/>
      <c r="JK208" s="113"/>
      <c r="JL208" s="113"/>
      <c r="JM208" s="113"/>
      <c r="JN208" s="113"/>
      <c r="JO208" s="113"/>
      <c r="JP208" s="113"/>
      <c r="JQ208" s="113"/>
      <c r="JR208" s="113"/>
      <c r="JS208" s="113"/>
      <c r="JT208" s="113"/>
      <c r="JU208" s="113"/>
      <c r="JV208" s="113"/>
      <c r="JW208" s="113"/>
      <c r="JX208" s="113"/>
      <c r="JY208" s="113"/>
      <c r="JZ208" s="113"/>
      <c r="KA208" s="113"/>
      <c r="KB208" s="113"/>
      <c r="KC208" s="113"/>
      <c r="KD208" s="113"/>
      <c r="KE208" s="113"/>
      <c r="KF208" s="113"/>
    </row>
    <row r="209" spans="1:292" ht="70" customHeight="1">
      <c r="A209" s="371">
        <v>320031</v>
      </c>
      <c r="B209" s="282"/>
      <c r="C209" s="282"/>
      <c r="D209" s="282"/>
      <c r="E209" s="282"/>
      <c r="F209" s="331"/>
      <c r="G209" s="577"/>
      <c r="H209" s="577"/>
      <c r="I209" s="104" t="s">
        <v>54</v>
      </c>
      <c r="J209" s="156" t="s">
        <v>115</v>
      </c>
      <c r="K209" s="236"/>
      <c r="L209" s="529"/>
      <c r="M209" s="33"/>
      <c r="N209" s="42"/>
      <c r="O209" s="33"/>
      <c r="P209" s="526">
        <v>46284</v>
      </c>
      <c r="Q209" s="637">
        <v>46355</v>
      </c>
      <c r="R209" s="526">
        <v>46404</v>
      </c>
      <c r="S209" s="526"/>
      <c r="T209" s="585">
        <v>46446</v>
      </c>
      <c r="U209" s="372"/>
      <c r="V209" s="277"/>
      <c r="W209" s="211"/>
      <c r="X209" s="456"/>
      <c r="Y209" s="456"/>
      <c r="Z209" s="465"/>
      <c r="AA209" s="465"/>
      <c r="AB209" s="465"/>
      <c r="AC209" s="11"/>
      <c r="AD209" s="465"/>
      <c r="AE209" s="456"/>
      <c r="AF209" s="10"/>
      <c r="AG209" s="456"/>
      <c r="AH209" s="456"/>
      <c r="AI209" s="456"/>
      <c r="AJ209" s="457"/>
      <c r="AK209" s="457"/>
      <c r="AL209" s="456"/>
      <c r="AM209" s="456"/>
      <c r="AN209" s="456"/>
      <c r="AO209" s="456"/>
      <c r="AP209" s="86"/>
      <c r="AQ209" s="86"/>
      <c r="AR209" s="656"/>
      <c r="AS209" s="656"/>
      <c r="AT209" s="86"/>
      <c r="AU209" s="86"/>
      <c r="AV209" s="86"/>
      <c r="AW209" s="86"/>
      <c r="AX209" s="11"/>
      <c r="AY209" s="465"/>
      <c r="AZ209" s="465"/>
      <c r="BA209" s="465"/>
      <c r="BB209" s="465"/>
      <c r="BC209" s="465"/>
      <c r="BD209" s="465"/>
      <c r="BE209" s="465"/>
      <c r="BF209" s="465"/>
      <c r="BG209" s="465"/>
      <c r="BH209" s="465"/>
      <c r="BI209" s="465"/>
      <c r="BJ209" s="465"/>
      <c r="BK209" s="465"/>
      <c r="BL209" s="465"/>
      <c r="BM209" s="465"/>
      <c r="BN209" s="465"/>
      <c r="BO209" s="377"/>
      <c r="BP209" s="465"/>
      <c r="BQ209" s="465"/>
      <c r="BR209" s="465"/>
      <c r="BS209" s="465"/>
      <c r="BT209" s="465"/>
      <c r="BU209" s="465"/>
      <c r="BV209" s="465"/>
      <c r="BW209" s="465"/>
      <c r="BX209" s="465"/>
      <c r="BY209" s="465"/>
      <c r="BZ209" s="465"/>
      <c r="CA209" s="465"/>
      <c r="CB209" s="465"/>
      <c r="CC209" s="465"/>
      <c r="CD209" s="465"/>
      <c r="CE209" s="465"/>
      <c r="CF209" s="465"/>
      <c r="CG209" s="465"/>
      <c r="CH209" s="465"/>
      <c r="CI209" s="465"/>
      <c r="CJ209" s="465"/>
      <c r="CK209" s="465"/>
      <c r="CL209" s="465"/>
      <c r="CM209" s="457"/>
      <c r="CN209" s="457"/>
      <c r="CO209" s="465"/>
      <c r="CP209" s="465"/>
      <c r="CQ209" s="465"/>
      <c r="CR209" s="465"/>
      <c r="CS209" s="465"/>
      <c r="CT209" s="465"/>
      <c r="CU209" s="465"/>
      <c r="CV209" s="465"/>
      <c r="CW209" s="2"/>
      <c r="CX209" s="457"/>
      <c r="CY209" s="465"/>
      <c r="CZ209" s="465"/>
      <c r="DA209" s="465"/>
      <c r="DB209" s="465"/>
      <c r="DC209" s="465"/>
      <c r="DD209" s="456"/>
      <c r="DE209" s="456"/>
      <c r="DF209" s="456"/>
      <c r="DG209" s="456"/>
      <c r="DH209" s="456"/>
      <c r="DI209" s="456"/>
      <c r="DJ209" s="456"/>
      <c r="DK209" s="456"/>
      <c r="DL209" s="456"/>
      <c r="DM209" s="456"/>
      <c r="DN209" s="456"/>
      <c r="DO209" s="456"/>
      <c r="DP209" s="456"/>
      <c r="DQ209" s="456"/>
      <c r="DR209" s="456"/>
      <c r="DS209" s="456"/>
      <c r="DT209" s="630" t="s">
        <v>478</v>
      </c>
      <c r="DU209" s="630"/>
      <c r="DV209" s="630"/>
      <c r="DW209" s="630"/>
      <c r="DX209" s="630"/>
      <c r="DY209" s="630"/>
      <c r="DZ209" s="667" t="s">
        <v>479</v>
      </c>
      <c r="EA209" s="667"/>
      <c r="EB209" s="667"/>
      <c r="EC209" s="667"/>
      <c r="ED209" s="668" t="s">
        <v>480</v>
      </c>
      <c r="EE209" s="668"/>
      <c r="EF209" s="668"/>
      <c r="EG209" s="668"/>
      <c r="EH209" s="671" t="s">
        <v>481</v>
      </c>
      <c r="EI209" s="671"/>
      <c r="EJ209" s="671"/>
      <c r="EK209" s="671"/>
      <c r="EL209" s="457"/>
      <c r="EM209" s="457"/>
      <c r="EN209" s="672" t="s">
        <v>487</v>
      </c>
      <c r="EO209" s="672"/>
      <c r="EP209" s="672"/>
      <c r="EQ209" s="672"/>
      <c r="ER209" s="456"/>
      <c r="ES209" s="456"/>
      <c r="ET209" s="456"/>
      <c r="EU209" s="456"/>
      <c r="EV209" s="456"/>
      <c r="EW209" s="456"/>
      <c r="EX209" s="456"/>
      <c r="EY209" s="456"/>
      <c r="EZ209" s="456"/>
      <c r="FA209" s="456"/>
      <c r="FB209" s="456"/>
      <c r="FC209" s="456"/>
      <c r="FD209" s="456"/>
      <c r="FE209" s="456"/>
      <c r="FF209" s="456"/>
      <c r="FG209" s="456"/>
      <c r="FH209" s="456"/>
      <c r="FI209" s="456"/>
      <c r="FJ209" s="456"/>
      <c r="FK209" s="456"/>
      <c r="FL209" s="456"/>
      <c r="FM209" s="456"/>
      <c r="FN209" s="456"/>
      <c r="FO209" s="456"/>
      <c r="FP209" s="456"/>
      <c r="FQ209" s="456"/>
      <c r="FR209" s="456"/>
      <c r="FS209" s="456"/>
      <c r="FT209" s="456"/>
      <c r="FU209" s="456"/>
      <c r="FV209" s="456"/>
      <c r="FW209" s="456"/>
      <c r="FX209" s="456"/>
      <c r="FY209" s="456"/>
      <c r="FZ209" s="456"/>
      <c r="GA209" s="456"/>
      <c r="GB209" s="456"/>
      <c r="GC209" s="456"/>
      <c r="GD209" s="456"/>
      <c r="GE209" s="456"/>
      <c r="GF209" s="456"/>
      <c r="GG209" s="456"/>
      <c r="GH209" s="456"/>
      <c r="GI209" s="456"/>
      <c r="GJ209" s="457"/>
      <c r="GK209" s="457"/>
      <c r="GL209" s="456"/>
      <c r="GM209" s="456"/>
      <c r="GN209" s="456"/>
      <c r="GO209" s="456"/>
      <c r="GP209" s="456"/>
      <c r="GQ209" s="456"/>
      <c r="GR209" s="456"/>
      <c r="GS209" s="456"/>
      <c r="GT209" s="456"/>
      <c r="GU209" s="456"/>
      <c r="GV209" s="456"/>
      <c r="GW209" s="456"/>
      <c r="GX209" s="456"/>
      <c r="GY209" s="456"/>
      <c r="GZ209" s="456"/>
      <c r="HA209" s="456"/>
      <c r="HB209" s="456"/>
      <c r="HC209" s="456"/>
      <c r="HD209" s="456"/>
      <c r="HE209" s="456"/>
      <c r="HF209" s="456"/>
      <c r="HG209" s="456"/>
      <c r="HH209" s="456"/>
      <c r="HI209" s="456"/>
      <c r="HJ209" s="456"/>
      <c r="HK209" s="456"/>
      <c r="HL209" s="456"/>
      <c r="HM209" s="456"/>
      <c r="HN209" s="456"/>
      <c r="HO209" s="456"/>
      <c r="HP209" s="456"/>
      <c r="HQ209" s="456"/>
      <c r="HR209" s="456"/>
      <c r="HS209" s="456"/>
      <c r="HT209" s="456"/>
      <c r="HU209" s="456"/>
      <c r="HV209" s="456"/>
      <c r="HW209" s="456"/>
      <c r="HX209" s="456"/>
      <c r="HY209" s="456"/>
      <c r="HZ209" s="456"/>
      <c r="IA209" s="456"/>
      <c r="IB209" s="456"/>
      <c r="IC209" s="456"/>
      <c r="ID209" s="456"/>
      <c r="IE209" s="456"/>
      <c r="IF209" s="456"/>
      <c r="IG209" s="456"/>
      <c r="IH209" s="456"/>
      <c r="II209" s="456"/>
      <c r="IJ209" s="456"/>
      <c r="IK209" s="456"/>
      <c r="IL209" s="456"/>
      <c r="IM209" s="456"/>
      <c r="IN209" s="457"/>
      <c r="IO209" s="457"/>
      <c r="IP209" s="456"/>
      <c r="IQ209" s="456"/>
      <c r="IR209" s="456"/>
      <c r="IS209" s="456"/>
      <c r="IT209" s="456"/>
      <c r="IU209" s="456"/>
      <c r="IV209" s="456"/>
      <c r="IW209" s="456"/>
      <c r="IX209" s="456"/>
      <c r="IY209" s="456"/>
      <c r="IZ209" s="456"/>
      <c r="JA209" s="456"/>
      <c r="JB209" s="456"/>
      <c r="JC209" s="456"/>
      <c r="JD209" s="456"/>
      <c r="JE209" s="456"/>
      <c r="JF209" s="456"/>
      <c r="JG209" s="456"/>
      <c r="JH209" s="456"/>
      <c r="JI209" s="456"/>
      <c r="JJ209" s="456"/>
      <c r="JK209" s="456"/>
      <c r="JL209" s="456"/>
      <c r="JM209" s="456"/>
      <c r="JN209" s="456"/>
      <c r="JO209" s="456"/>
      <c r="JP209" s="456"/>
      <c r="JQ209" s="456"/>
      <c r="JR209" s="456"/>
      <c r="JS209" s="456"/>
      <c r="JT209" s="456"/>
      <c r="JU209" s="456"/>
      <c r="JV209" s="456"/>
      <c r="JW209" s="456"/>
      <c r="JX209" s="456"/>
      <c r="JY209" s="456"/>
      <c r="JZ209" s="456"/>
      <c r="KA209" s="456"/>
      <c r="KB209" s="456"/>
      <c r="KC209" s="456"/>
      <c r="KD209" s="456"/>
      <c r="KE209" s="456"/>
      <c r="KF209" s="456"/>
    </row>
    <row r="210" spans="1:292" ht="70" customHeight="1">
      <c r="A210" s="371">
        <v>32032</v>
      </c>
      <c r="B210" s="282"/>
      <c r="C210" s="282"/>
      <c r="D210" s="282"/>
      <c r="E210" s="282"/>
      <c r="F210" s="331"/>
      <c r="G210" s="577"/>
      <c r="H210" s="577"/>
      <c r="I210" s="104" t="s">
        <v>54</v>
      </c>
      <c r="J210" s="156" t="s">
        <v>115</v>
      </c>
      <c r="K210" s="236"/>
      <c r="L210" s="529"/>
      <c r="M210" s="33"/>
      <c r="N210" s="42"/>
      <c r="O210" s="33"/>
      <c r="P210" s="526">
        <v>46319</v>
      </c>
      <c r="Q210" s="637">
        <v>46383</v>
      </c>
      <c r="R210" s="526">
        <v>46446</v>
      </c>
      <c r="S210" s="526"/>
      <c r="T210" s="585">
        <v>46474</v>
      </c>
      <c r="U210" s="372"/>
      <c r="V210" s="277"/>
      <c r="W210" s="211"/>
      <c r="X210" s="456"/>
      <c r="Y210" s="456"/>
      <c r="Z210" s="465"/>
      <c r="AA210" s="465"/>
      <c r="AB210" s="465"/>
      <c r="AC210" s="11"/>
      <c r="AD210" s="465"/>
      <c r="AE210" s="456"/>
      <c r="AF210" s="10"/>
      <c r="AG210" s="456"/>
      <c r="AH210" s="456"/>
      <c r="AI210" s="456"/>
      <c r="AJ210" s="457"/>
      <c r="AK210" s="457"/>
      <c r="AL210" s="456"/>
      <c r="AM210" s="456"/>
      <c r="AN210" s="456"/>
      <c r="AO210" s="456"/>
      <c r="AP210" s="86"/>
      <c r="AQ210" s="86"/>
      <c r="AR210" s="656"/>
      <c r="AS210" s="656"/>
      <c r="AT210" s="86"/>
      <c r="AU210" s="86"/>
      <c r="AV210" s="86"/>
      <c r="AW210" s="86"/>
      <c r="AX210" s="11"/>
      <c r="AY210" s="465"/>
      <c r="AZ210" s="465"/>
      <c r="BA210" s="465"/>
      <c r="BB210" s="465"/>
      <c r="BC210" s="465"/>
      <c r="BD210" s="465"/>
      <c r="BE210" s="465"/>
      <c r="BF210" s="465"/>
      <c r="BG210" s="465"/>
      <c r="BH210" s="465"/>
      <c r="BI210" s="465"/>
      <c r="BJ210" s="465"/>
      <c r="BK210" s="465"/>
      <c r="BL210" s="465"/>
      <c r="BM210" s="465"/>
      <c r="BN210" s="465"/>
      <c r="BO210" s="377"/>
      <c r="BP210" s="465"/>
      <c r="BQ210" s="465"/>
      <c r="BR210" s="465"/>
      <c r="BS210" s="465"/>
      <c r="BT210" s="465"/>
      <c r="BU210" s="465"/>
      <c r="BV210" s="465"/>
      <c r="BW210" s="465"/>
      <c r="BX210" s="465"/>
      <c r="BY210" s="465"/>
      <c r="BZ210" s="465"/>
      <c r="CA210" s="465"/>
      <c r="CB210" s="465"/>
      <c r="CC210" s="465"/>
      <c r="CD210" s="465"/>
      <c r="CE210" s="465"/>
      <c r="CF210" s="465"/>
      <c r="CG210" s="465"/>
      <c r="CH210" s="465"/>
      <c r="CI210" s="465"/>
      <c r="CJ210" s="465"/>
      <c r="CK210" s="465"/>
      <c r="CL210" s="465"/>
      <c r="CM210" s="457"/>
      <c r="CN210" s="457"/>
      <c r="CO210" s="465"/>
      <c r="CP210" s="465"/>
      <c r="CQ210" s="465"/>
      <c r="CR210" s="465"/>
      <c r="CS210" s="465"/>
      <c r="CT210" s="465"/>
      <c r="CU210" s="465"/>
      <c r="CV210" s="465"/>
      <c r="CW210" s="2"/>
      <c r="CX210" s="457"/>
      <c r="CY210" s="465"/>
      <c r="CZ210" s="465"/>
      <c r="DA210" s="465"/>
      <c r="DB210" s="465"/>
      <c r="DC210" s="465"/>
      <c r="DD210" s="456"/>
      <c r="DE210" s="456"/>
      <c r="DF210" s="456"/>
      <c r="DG210" s="456"/>
      <c r="DH210" s="456"/>
      <c r="DI210" s="456"/>
      <c r="DJ210" s="456"/>
      <c r="DK210" s="456"/>
      <c r="DL210" s="456"/>
      <c r="DM210" s="456"/>
      <c r="DN210" s="456"/>
      <c r="DO210" s="456"/>
      <c r="DP210" s="456"/>
      <c r="DQ210" s="456"/>
      <c r="DR210" s="456"/>
      <c r="DS210" s="456"/>
      <c r="DT210" s="456"/>
      <c r="DU210" s="456"/>
      <c r="DV210" s="456"/>
      <c r="DW210" s="456"/>
      <c r="DX210" s="456"/>
      <c r="DY210" s="630" t="s">
        <v>478</v>
      </c>
      <c r="DZ210" s="630"/>
      <c r="EA210" s="630"/>
      <c r="EB210" s="630"/>
      <c r="EC210" s="630"/>
      <c r="ED210" s="667" t="s">
        <v>479</v>
      </c>
      <c r="EE210" s="667"/>
      <c r="EF210" s="667"/>
      <c r="EG210" s="667"/>
      <c r="EH210" s="668" t="s">
        <v>480</v>
      </c>
      <c r="EI210" s="668"/>
      <c r="EJ210" s="668"/>
      <c r="EK210" s="668"/>
      <c r="EL210" s="116"/>
      <c r="EM210" s="116"/>
      <c r="EN210" s="671" t="s">
        <v>481</v>
      </c>
      <c r="EO210" s="671"/>
      <c r="EP210" s="671"/>
      <c r="EQ210" s="671"/>
      <c r="ER210" s="672" t="s">
        <v>487</v>
      </c>
      <c r="ES210" s="672"/>
      <c r="ET210" s="672"/>
      <c r="EU210" s="672"/>
      <c r="EV210" s="456"/>
      <c r="EW210" s="456"/>
      <c r="EX210" s="456"/>
      <c r="EY210" s="456"/>
      <c r="EZ210" s="456"/>
      <c r="FA210" s="456"/>
      <c r="FB210" s="456"/>
      <c r="FC210" s="456"/>
      <c r="FD210" s="456"/>
      <c r="FE210" s="456"/>
      <c r="FF210" s="456"/>
      <c r="FG210" s="456"/>
      <c r="FH210" s="456"/>
      <c r="FI210" s="456"/>
      <c r="FJ210" s="456"/>
      <c r="FK210" s="456"/>
      <c r="FL210" s="456"/>
      <c r="FM210" s="456"/>
      <c r="FN210" s="456"/>
      <c r="FO210" s="456"/>
      <c r="FP210" s="456"/>
      <c r="FQ210" s="456"/>
      <c r="FR210" s="456"/>
      <c r="FS210" s="456"/>
      <c r="FT210" s="456"/>
      <c r="FU210" s="456"/>
      <c r="FV210" s="456"/>
      <c r="FW210" s="456"/>
      <c r="FX210" s="456"/>
      <c r="FY210" s="456"/>
      <c r="FZ210" s="456"/>
      <c r="GA210" s="456"/>
      <c r="GB210" s="456"/>
      <c r="GC210" s="456"/>
      <c r="GD210" s="456"/>
      <c r="GE210" s="456"/>
      <c r="GF210" s="456"/>
      <c r="GG210" s="456"/>
      <c r="GH210" s="456"/>
      <c r="GI210" s="456"/>
      <c r="GJ210" s="457"/>
      <c r="GK210" s="457"/>
      <c r="GL210" s="456"/>
      <c r="GM210" s="456"/>
      <c r="GN210" s="456"/>
      <c r="GO210" s="456"/>
      <c r="GP210" s="456"/>
      <c r="GQ210" s="456"/>
      <c r="GR210" s="456"/>
      <c r="GS210" s="456"/>
      <c r="GT210" s="456"/>
      <c r="GU210" s="456"/>
      <c r="GV210" s="456"/>
      <c r="GW210" s="456"/>
      <c r="GX210" s="456"/>
      <c r="GY210" s="456"/>
      <c r="GZ210" s="456"/>
      <c r="HA210" s="456"/>
      <c r="HB210" s="456"/>
      <c r="HC210" s="456"/>
      <c r="HD210" s="456"/>
      <c r="HE210" s="456"/>
      <c r="HF210" s="456"/>
      <c r="HG210" s="456"/>
      <c r="HH210" s="456"/>
      <c r="HI210" s="456"/>
      <c r="HJ210" s="456"/>
      <c r="HK210" s="456"/>
      <c r="HL210" s="456"/>
      <c r="HM210" s="456"/>
      <c r="HN210" s="456"/>
      <c r="HO210" s="456"/>
      <c r="HP210" s="456"/>
      <c r="HQ210" s="456"/>
      <c r="HR210" s="456"/>
      <c r="HS210" s="456"/>
      <c r="HT210" s="456"/>
      <c r="HU210" s="456"/>
      <c r="HV210" s="456"/>
      <c r="HW210" s="456"/>
      <c r="HX210" s="456"/>
      <c r="HY210" s="456"/>
      <c r="HZ210" s="456"/>
      <c r="IA210" s="456"/>
      <c r="IB210" s="456"/>
      <c r="IC210" s="456"/>
      <c r="ID210" s="456"/>
      <c r="IE210" s="456"/>
      <c r="IF210" s="456"/>
      <c r="IG210" s="456"/>
      <c r="IH210" s="456"/>
      <c r="II210" s="456"/>
      <c r="IJ210" s="456"/>
      <c r="IK210" s="456"/>
      <c r="IL210" s="456"/>
      <c r="IM210" s="456"/>
      <c r="IN210" s="457"/>
      <c r="IO210" s="457"/>
      <c r="IP210" s="456"/>
      <c r="IQ210" s="456"/>
      <c r="IR210" s="456"/>
      <c r="IS210" s="456"/>
      <c r="IT210" s="456"/>
      <c r="IU210" s="456"/>
      <c r="IV210" s="456"/>
      <c r="IW210" s="456"/>
      <c r="IX210" s="456"/>
      <c r="IY210" s="456"/>
      <c r="IZ210" s="456"/>
      <c r="JA210" s="456"/>
      <c r="JB210" s="456"/>
      <c r="JC210" s="456"/>
      <c r="JD210" s="456"/>
      <c r="JE210" s="456"/>
      <c r="JF210" s="456"/>
      <c r="JG210" s="456"/>
      <c r="JH210" s="456"/>
      <c r="JI210" s="456"/>
      <c r="JJ210" s="456"/>
      <c r="JK210" s="456"/>
      <c r="JL210" s="456"/>
      <c r="JM210" s="456"/>
      <c r="JN210" s="456"/>
      <c r="JO210" s="456"/>
      <c r="JP210" s="456"/>
      <c r="JQ210" s="456"/>
      <c r="JR210" s="456"/>
      <c r="JS210" s="456"/>
      <c r="JT210" s="456"/>
      <c r="JU210" s="456"/>
      <c r="JV210" s="456"/>
      <c r="JW210" s="456"/>
      <c r="JX210" s="456"/>
      <c r="JY210" s="456"/>
      <c r="JZ210" s="456"/>
      <c r="KA210" s="456"/>
      <c r="KB210" s="456"/>
      <c r="KC210" s="456"/>
      <c r="KD210" s="456"/>
      <c r="KE210" s="456"/>
      <c r="KF210" s="456"/>
    </row>
    <row r="211" spans="1:292" ht="70" customHeight="1">
      <c r="V211" s="614"/>
      <c r="X211" s="614"/>
      <c r="Y211" s="614"/>
      <c r="Z211" s="614"/>
      <c r="AA211" s="614"/>
      <c r="AB211" s="614"/>
      <c r="AC211" s="614"/>
      <c r="AD211" s="614"/>
      <c r="AE211" s="614"/>
      <c r="AF211" s="614"/>
      <c r="AG211" s="614"/>
      <c r="AH211" s="614"/>
      <c r="AI211" s="614"/>
      <c r="AJ211" s="614"/>
      <c r="AK211" s="614"/>
      <c r="AL211" s="614"/>
      <c r="AM211" s="614"/>
      <c r="AN211" s="614"/>
      <c r="AO211" s="614"/>
      <c r="AP211" s="614"/>
      <c r="AQ211" s="614"/>
      <c r="AR211" s="614"/>
      <c r="AS211" s="614"/>
      <c r="AT211" s="614"/>
      <c r="AU211" s="614"/>
      <c r="AV211" s="614"/>
      <c r="AW211" s="614"/>
      <c r="AX211" s="614"/>
      <c r="AY211" s="614"/>
      <c r="AZ211" s="614"/>
      <c r="BA211" s="614"/>
      <c r="BB211" s="614"/>
      <c r="BC211" s="614"/>
      <c r="BD211" s="614"/>
      <c r="BE211" s="614"/>
      <c r="BF211" s="614"/>
      <c r="BG211" s="614"/>
      <c r="BH211" s="614"/>
      <c r="BI211" s="614"/>
      <c r="BJ211" s="614"/>
      <c r="BK211" s="614"/>
      <c r="BL211" s="614"/>
      <c r="BM211" s="614"/>
      <c r="BN211" s="614"/>
      <c r="BO211" s="614"/>
      <c r="BP211" s="614"/>
      <c r="BQ211" s="614"/>
      <c r="BR211" s="614"/>
      <c r="BS211" s="614"/>
      <c r="BT211" s="614"/>
      <c r="BU211" s="614"/>
      <c r="BV211" s="614"/>
      <c r="BW211" s="614"/>
      <c r="BX211" s="614"/>
      <c r="BY211" s="614"/>
      <c r="BZ211" s="614"/>
      <c r="CA211" s="614"/>
      <c r="CB211" s="614"/>
      <c r="CC211" s="614"/>
      <c r="CD211" s="614"/>
      <c r="CE211" s="614"/>
      <c r="CF211" s="614"/>
      <c r="CG211" s="614"/>
      <c r="CH211" s="614"/>
    </row>
    <row r="212" spans="1:292" ht="70" customHeight="1">
      <c r="V212" s="614"/>
      <c r="X212" s="614"/>
      <c r="Y212" s="614"/>
      <c r="Z212" s="614"/>
      <c r="AA212" s="614"/>
      <c r="AB212" s="614"/>
      <c r="AC212" s="614"/>
      <c r="AD212" s="614"/>
      <c r="AE212" s="614"/>
      <c r="AF212" s="614"/>
      <c r="AG212" s="614"/>
      <c r="AH212" s="614"/>
      <c r="AI212" s="614"/>
      <c r="AJ212" s="614"/>
      <c r="AK212" s="614"/>
      <c r="AL212" s="614"/>
      <c r="AM212" s="614"/>
      <c r="AN212" s="614"/>
      <c r="AO212" s="614"/>
      <c r="AP212" s="614"/>
      <c r="AQ212" s="614"/>
      <c r="AR212" s="614"/>
      <c r="AS212" s="614"/>
      <c r="AT212" s="614"/>
      <c r="AU212" s="614"/>
      <c r="AV212" s="614"/>
      <c r="AW212" s="614"/>
      <c r="AX212" s="614"/>
      <c r="AY212" s="614"/>
      <c r="AZ212" s="614"/>
      <c r="BA212" s="614"/>
      <c r="BB212" s="614"/>
      <c r="BC212" s="614"/>
      <c r="BD212" s="614"/>
      <c r="BE212" s="614"/>
      <c r="BF212" s="614"/>
      <c r="BG212" s="614"/>
      <c r="BH212" s="614"/>
      <c r="BI212" s="614"/>
      <c r="BJ212" s="614"/>
      <c r="BK212" s="614"/>
      <c r="BL212" s="614"/>
      <c r="BM212" s="614"/>
      <c r="BN212" s="614"/>
      <c r="BO212" s="614"/>
      <c r="BP212" s="614"/>
      <c r="BQ212" s="614"/>
      <c r="BR212" s="614"/>
      <c r="BS212" s="614"/>
      <c r="BT212" s="614"/>
      <c r="BU212" s="614"/>
      <c r="BV212" s="614"/>
      <c r="BW212" s="614"/>
      <c r="BX212" s="614"/>
      <c r="BY212" s="614"/>
      <c r="BZ212" s="614"/>
      <c r="CA212" s="614"/>
      <c r="CB212" s="614"/>
      <c r="CC212" s="614"/>
      <c r="CD212" s="614"/>
      <c r="CE212" s="614"/>
      <c r="CF212" s="614"/>
      <c r="CG212" s="614"/>
      <c r="CH212" s="614"/>
    </row>
    <row r="213" spans="1:292" ht="70" customHeight="1">
      <c r="V213" s="614"/>
      <c r="X213" s="614"/>
      <c r="Y213" s="614"/>
      <c r="Z213" s="614"/>
      <c r="AA213" s="614"/>
      <c r="AB213" s="614"/>
      <c r="AC213" s="614"/>
      <c r="AD213" s="614"/>
      <c r="AE213" s="614"/>
      <c r="AF213" s="614"/>
      <c r="AG213" s="614"/>
      <c r="AH213" s="614"/>
      <c r="AI213" s="614"/>
      <c r="AJ213" s="614"/>
      <c r="AK213" s="614"/>
      <c r="AL213" s="614"/>
      <c r="AM213" s="614"/>
      <c r="AN213" s="614"/>
      <c r="AO213" s="614"/>
      <c r="AP213" s="614"/>
      <c r="AQ213" s="614"/>
      <c r="AR213" s="614"/>
      <c r="AS213" s="614"/>
      <c r="AT213" s="614"/>
      <c r="AU213" s="614"/>
      <c r="AV213" s="614"/>
      <c r="AW213" s="614"/>
      <c r="AX213" s="614"/>
      <c r="AY213" s="614"/>
      <c r="AZ213" s="614"/>
      <c r="BA213" s="614"/>
      <c r="BB213" s="614"/>
      <c r="BC213" s="614"/>
      <c r="BD213" s="614"/>
      <c r="BE213" s="614"/>
      <c r="BF213" s="614"/>
      <c r="BG213" s="614"/>
      <c r="BH213" s="614"/>
      <c r="BI213" s="614"/>
      <c r="BJ213" s="614"/>
      <c r="BK213" s="614"/>
      <c r="BL213" s="614"/>
      <c r="BM213" s="614"/>
      <c r="BN213" s="614"/>
      <c r="BO213" s="614"/>
      <c r="BP213" s="614"/>
      <c r="BQ213" s="614"/>
      <c r="BR213" s="614"/>
      <c r="BS213" s="614"/>
      <c r="BT213" s="614"/>
      <c r="BU213" s="614"/>
      <c r="BV213" s="614"/>
      <c r="BW213" s="614"/>
      <c r="BX213" s="614"/>
      <c r="BY213" s="614"/>
      <c r="BZ213" s="614"/>
      <c r="CA213" s="614"/>
      <c r="CB213" s="614"/>
      <c r="CC213" s="614"/>
      <c r="CD213" s="614"/>
      <c r="CE213" s="614"/>
      <c r="CF213" s="614"/>
      <c r="CG213" s="614"/>
      <c r="CH213" s="614"/>
    </row>
    <row r="214" spans="1:292" ht="70" customHeight="1">
      <c r="V214" s="614"/>
      <c r="X214" s="614"/>
      <c r="Y214" s="614"/>
      <c r="Z214" s="614"/>
      <c r="AA214" s="614"/>
      <c r="AB214" s="614"/>
      <c r="AC214" s="614"/>
      <c r="AD214" s="614"/>
      <c r="AE214" s="614"/>
      <c r="AF214" s="614"/>
      <c r="AG214" s="614"/>
      <c r="AH214" s="614"/>
      <c r="AI214" s="614"/>
      <c r="AJ214" s="614"/>
      <c r="AK214" s="614"/>
      <c r="AL214" s="614"/>
      <c r="AM214" s="614"/>
      <c r="AN214" s="614"/>
      <c r="AO214" s="614"/>
      <c r="AP214" s="614"/>
      <c r="AQ214" s="614"/>
      <c r="AR214" s="614"/>
      <c r="AS214" s="614"/>
      <c r="AT214" s="614"/>
      <c r="AU214" s="614"/>
      <c r="AV214" s="614"/>
      <c r="AW214" s="614"/>
      <c r="AX214" s="614"/>
      <c r="AY214" s="614"/>
      <c r="AZ214" s="614"/>
      <c r="BA214" s="614"/>
      <c r="BB214" s="614"/>
      <c r="BC214" s="614"/>
      <c r="BD214" s="614"/>
      <c r="BE214" s="614"/>
      <c r="BF214" s="614"/>
      <c r="BG214" s="614"/>
      <c r="BH214" s="614"/>
      <c r="BI214" s="614"/>
      <c r="BJ214" s="614"/>
      <c r="BK214" s="614"/>
      <c r="BL214" s="614"/>
      <c r="BM214" s="614"/>
      <c r="BN214" s="614"/>
      <c r="BO214" s="614"/>
      <c r="BP214" s="614"/>
      <c r="BQ214" s="614"/>
      <c r="BR214" s="614"/>
      <c r="BS214" s="614"/>
      <c r="BT214" s="614"/>
      <c r="BU214" s="614"/>
      <c r="BV214" s="614"/>
      <c r="BW214" s="614"/>
      <c r="BX214" s="614"/>
      <c r="BY214" s="614"/>
      <c r="BZ214" s="614"/>
      <c r="CA214" s="614"/>
      <c r="CB214" s="614"/>
      <c r="CC214" s="614"/>
      <c r="CD214" s="614"/>
      <c r="CE214" s="614"/>
      <c r="CF214" s="614"/>
      <c r="CG214" s="614"/>
      <c r="CH214" s="614"/>
    </row>
    <row r="215" spans="1:292" ht="70" customHeight="1">
      <c r="V215" s="614"/>
      <c r="X215" s="614"/>
      <c r="Y215" s="614"/>
      <c r="Z215" s="614"/>
      <c r="AA215" s="614"/>
      <c r="AB215" s="614"/>
      <c r="AC215" s="614"/>
      <c r="AD215" s="614"/>
      <c r="AE215" s="614"/>
      <c r="AF215" s="614"/>
      <c r="AG215" s="614"/>
      <c r="AH215" s="614"/>
      <c r="AI215" s="614"/>
      <c r="AJ215" s="614"/>
      <c r="AK215" s="614"/>
      <c r="AL215" s="614"/>
      <c r="AM215" s="614"/>
      <c r="AN215" s="614"/>
      <c r="AO215" s="614"/>
      <c r="AP215" s="614"/>
      <c r="AQ215" s="614"/>
      <c r="AR215" s="614"/>
      <c r="AS215" s="614"/>
      <c r="AT215" s="614"/>
      <c r="AU215" s="614"/>
      <c r="AV215" s="614"/>
      <c r="AW215" s="614"/>
      <c r="AX215" s="614"/>
      <c r="AY215" s="614"/>
      <c r="AZ215" s="614"/>
      <c r="BA215" s="614"/>
      <c r="BB215" s="614"/>
      <c r="BC215" s="614"/>
      <c r="BD215" s="614"/>
      <c r="BE215" s="614"/>
      <c r="BF215" s="614"/>
      <c r="BG215" s="614"/>
      <c r="BH215" s="614"/>
      <c r="BI215" s="614"/>
      <c r="BJ215" s="614"/>
      <c r="BK215" s="614"/>
      <c r="BL215" s="614"/>
      <c r="BM215" s="614"/>
      <c r="BN215" s="614"/>
      <c r="BO215" s="614"/>
      <c r="BP215" s="614"/>
      <c r="BQ215" s="614"/>
      <c r="BR215" s="614"/>
      <c r="BS215" s="614"/>
      <c r="BT215" s="614"/>
      <c r="BU215" s="614"/>
      <c r="BV215" s="614"/>
      <c r="BW215" s="614"/>
      <c r="BX215" s="614"/>
      <c r="BY215" s="614"/>
      <c r="BZ215" s="614"/>
      <c r="CA215" s="614"/>
      <c r="CB215" s="614"/>
      <c r="CC215" s="614"/>
      <c r="CD215" s="614"/>
      <c r="CE215" s="614"/>
      <c r="CF215" s="614"/>
      <c r="CG215" s="614"/>
      <c r="CH215" s="614"/>
    </row>
    <row r="216" spans="1:292" ht="70" customHeight="1">
      <c r="V216" s="614"/>
      <c r="X216" s="614"/>
      <c r="Y216" s="614"/>
      <c r="Z216" s="614"/>
      <c r="AA216" s="614"/>
      <c r="AB216" s="614"/>
      <c r="AC216" s="614"/>
      <c r="AD216" s="614"/>
      <c r="AE216" s="614"/>
      <c r="AF216" s="614"/>
      <c r="AG216" s="614"/>
      <c r="AH216" s="614"/>
      <c r="AI216" s="614"/>
      <c r="AJ216" s="614"/>
      <c r="AK216" s="614"/>
      <c r="AL216" s="614"/>
      <c r="AM216" s="614"/>
      <c r="AN216" s="614"/>
      <c r="AO216" s="614"/>
      <c r="AP216" s="614"/>
      <c r="AQ216" s="614"/>
      <c r="AR216" s="614"/>
      <c r="AS216" s="614"/>
      <c r="AT216" s="614"/>
      <c r="AU216" s="614"/>
      <c r="AV216" s="614"/>
      <c r="AW216" s="614"/>
      <c r="AX216" s="614"/>
      <c r="AY216" s="614"/>
      <c r="AZ216" s="614"/>
      <c r="BA216" s="614"/>
      <c r="BB216" s="614"/>
      <c r="BC216" s="614"/>
      <c r="BD216" s="614"/>
      <c r="BE216" s="614"/>
      <c r="BF216" s="614"/>
      <c r="BG216" s="614"/>
      <c r="BH216" s="614"/>
      <c r="BI216" s="614"/>
      <c r="BJ216" s="614"/>
      <c r="BK216" s="614"/>
      <c r="BL216" s="614"/>
      <c r="BM216" s="614"/>
      <c r="BN216" s="614"/>
      <c r="BO216" s="614"/>
      <c r="BP216" s="614"/>
      <c r="BQ216" s="614"/>
      <c r="BR216" s="614"/>
      <c r="BS216" s="614"/>
      <c r="BT216" s="614"/>
      <c r="BU216" s="614"/>
      <c r="BV216" s="614"/>
      <c r="BW216" s="614"/>
      <c r="BX216" s="614"/>
      <c r="BY216" s="614"/>
      <c r="BZ216" s="614"/>
      <c r="CA216" s="614"/>
      <c r="CB216" s="614"/>
      <c r="CC216" s="614"/>
      <c r="CD216" s="614"/>
      <c r="CE216" s="614"/>
      <c r="CF216" s="614"/>
      <c r="CG216" s="614"/>
      <c r="CH216" s="614"/>
    </row>
    <row r="217" spans="1:292" ht="70" customHeight="1">
      <c r="V217" s="614"/>
      <c r="X217" s="614"/>
      <c r="Y217" s="614"/>
      <c r="Z217" s="614"/>
      <c r="AA217" s="614"/>
      <c r="AB217" s="614"/>
      <c r="AC217" s="614"/>
      <c r="AD217" s="614"/>
      <c r="AE217" s="614"/>
      <c r="AF217" s="614"/>
      <c r="AG217" s="614"/>
      <c r="AH217" s="614"/>
      <c r="AI217" s="614"/>
      <c r="AJ217" s="614"/>
      <c r="AK217" s="614"/>
      <c r="AL217" s="614"/>
      <c r="AM217" s="614"/>
      <c r="AN217" s="614"/>
      <c r="AO217" s="614"/>
      <c r="AP217" s="614"/>
      <c r="AQ217" s="614"/>
      <c r="AR217" s="614"/>
      <c r="AS217" s="614"/>
      <c r="AT217" s="614"/>
      <c r="AU217" s="614"/>
      <c r="AV217" s="614"/>
      <c r="AW217" s="614"/>
      <c r="AX217" s="614"/>
      <c r="AY217" s="614"/>
      <c r="AZ217" s="614"/>
      <c r="BA217" s="614"/>
      <c r="BB217" s="614"/>
      <c r="BC217" s="614"/>
      <c r="BD217" s="614"/>
      <c r="BE217" s="614"/>
      <c r="BF217" s="614"/>
      <c r="BG217" s="614"/>
      <c r="BH217" s="614"/>
      <c r="BI217" s="614"/>
      <c r="BJ217" s="614"/>
      <c r="BK217" s="614"/>
      <c r="BL217" s="614"/>
      <c r="BM217" s="614"/>
      <c r="BN217" s="614"/>
      <c r="BO217" s="614"/>
      <c r="BP217" s="614"/>
      <c r="BQ217" s="614"/>
      <c r="BR217" s="614"/>
      <c r="BS217" s="614"/>
      <c r="BT217" s="614"/>
      <c r="BU217" s="614"/>
      <c r="BV217" s="614"/>
      <c r="BW217" s="614"/>
      <c r="BX217" s="614"/>
      <c r="BY217" s="614"/>
      <c r="BZ217" s="614"/>
      <c r="CA217" s="614"/>
      <c r="CB217" s="614"/>
      <c r="CC217" s="614"/>
      <c r="CD217" s="614"/>
      <c r="CE217" s="614"/>
      <c r="CF217" s="614"/>
      <c r="CG217" s="614"/>
      <c r="CH217" s="614"/>
    </row>
    <row r="218" spans="1:292" ht="70" customHeight="1">
      <c r="V218" s="614"/>
      <c r="X218" s="614"/>
      <c r="Y218" s="614"/>
      <c r="Z218" s="614"/>
      <c r="AA218" s="614"/>
      <c r="AB218" s="614"/>
      <c r="AC218" s="614"/>
      <c r="AD218" s="614"/>
      <c r="AE218" s="614"/>
      <c r="AF218" s="614"/>
      <c r="AG218" s="614"/>
      <c r="AH218" s="614"/>
      <c r="AI218" s="614"/>
      <c r="AJ218" s="614"/>
      <c r="AK218" s="614"/>
      <c r="AL218" s="614"/>
      <c r="AM218" s="614"/>
      <c r="AN218" s="614"/>
      <c r="AO218" s="614"/>
      <c r="AP218" s="614"/>
      <c r="AQ218" s="614"/>
      <c r="AR218" s="614"/>
      <c r="AS218" s="614"/>
      <c r="AT218" s="614"/>
      <c r="AU218" s="614"/>
      <c r="AV218" s="614"/>
      <c r="AW218" s="614"/>
      <c r="AX218" s="614"/>
      <c r="AY218" s="614"/>
      <c r="AZ218" s="614"/>
      <c r="BA218" s="614"/>
      <c r="BB218" s="614"/>
      <c r="BC218" s="614"/>
      <c r="BD218" s="614"/>
      <c r="BE218" s="614"/>
      <c r="BF218" s="614"/>
      <c r="BG218" s="614"/>
      <c r="BH218" s="614"/>
      <c r="BI218" s="614"/>
      <c r="BJ218" s="614"/>
      <c r="BK218" s="614"/>
      <c r="BL218" s="614"/>
      <c r="BM218" s="614"/>
      <c r="BN218" s="614"/>
      <c r="BO218" s="614"/>
      <c r="BP218" s="614"/>
      <c r="BQ218" s="614"/>
      <c r="BR218" s="614"/>
      <c r="BS218" s="614"/>
      <c r="BT218" s="614"/>
      <c r="BU218" s="614"/>
      <c r="BV218" s="614"/>
      <c r="BW218" s="614"/>
      <c r="BX218" s="614"/>
      <c r="BY218" s="614"/>
      <c r="BZ218" s="614"/>
      <c r="CA218" s="614"/>
      <c r="CB218" s="614"/>
      <c r="CC218" s="614"/>
      <c r="CD218" s="614"/>
      <c r="CE218" s="614"/>
      <c r="CF218" s="614"/>
      <c r="CG218" s="614"/>
      <c r="CH218" s="614"/>
    </row>
    <row r="219" spans="1:292" ht="70" customHeight="1">
      <c r="V219" s="614"/>
      <c r="X219" s="614"/>
      <c r="Y219" s="614"/>
      <c r="Z219" s="614"/>
      <c r="AA219" s="614"/>
      <c r="AB219" s="614"/>
      <c r="AC219" s="614"/>
      <c r="AD219" s="614"/>
      <c r="AE219" s="614"/>
      <c r="AF219" s="614"/>
      <c r="AG219" s="614"/>
      <c r="AH219" s="614"/>
      <c r="AI219" s="614"/>
      <c r="AJ219" s="614"/>
      <c r="AK219" s="614"/>
      <c r="AL219" s="614"/>
      <c r="AM219" s="614"/>
      <c r="AN219" s="614"/>
      <c r="AO219" s="614"/>
      <c r="AP219" s="614"/>
      <c r="AQ219" s="614"/>
      <c r="AR219" s="614"/>
      <c r="AS219" s="614"/>
      <c r="AT219" s="614"/>
      <c r="AU219" s="614"/>
      <c r="AV219" s="614"/>
      <c r="AW219" s="614"/>
      <c r="AX219" s="614"/>
      <c r="AY219" s="614"/>
      <c r="AZ219" s="614"/>
      <c r="BA219" s="614"/>
      <c r="BB219" s="614"/>
      <c r="BC219" s="614"/>
      <c r="BD219" s="614"/>
      <c r="BE219" s="614"/>
      <c r="BF219" s="614"/>
      <c r="BG219" s="614"/>
      <c r="BH219" s="614"/>
      <c r="BI219" s="614"/>
      <c r="BJ219" s="614"/>
      <c r="BK219" s="614"/>
      <c r="BL219" s="614"/>
      <c r="BM219" s="614"/>
      <c r="BN219" s="614"/>
      <c r="BO219" s="614"/>
      <c r="BP219" s="614"/>
      <c r="BQ219" s="614"/>
      <c r="BR219" s="614"/>
      <c r="BS219" s="614"/>
      <c r="BT219" s="614"/>
      <c r="BU219" s="614"/>
      <c r="BV219" s="614"/>
      <c r="BW219" s="614"/>
      <c r="BX219" s="614"/>
      <c r="BY219" s="614"/>
      <c r="BZ219" s="614"/>
      <c r="CA219" s="614"/>
      <c r="CB219" s="614"/>
      <c r="CC219" s="614"/>
      <c r="CD219" s="614"/>
      <c r="CE219" s="614"/>
      <c r="CF219" s="614"/>
      <c r="CG219" s="614"/>
      <c r="CH219" s="614"/>
    </row>
    <row r="220" spans="1:292" ht="70" customHeight="1">
      <c r="V220" s="614"/>
      <c r="X220" s="614"/>
      <c r="Y220" s="614"/>
      <c r="Z220" s="614"/>
      <c r="AA220" s="614"/>
      <c r="AB220" s="614"/>
      <c r="AC220" s="614"/>
      <c r="AD220" s="614"/>
      <c r="AE220" s="614"/>
      <c r="AF220" s="614"/>
      <c r="AG220" s="614"/>
      <c r="AH220" s="614"/>
      <c r="AI220" s="614"/>
      <c r="AJ220" s="614"/>
      <c r="AK220" s="614"/>
      <c r="AL220" s="614"/>
      <c r="AM220" s="614"/>
      <c r="AN220" s="614"/>
      <c r="AO220" s="614"/>
      <c r="AP220" s="614"/>
      <c r="AQ220" s="614"/>
      <c r="AR220" s="614"/>
      <c r="AS220" s="614"/>
      <c r="AT220" s="614"/>
      <c r="AU220" s="614"/>
      <c r="AV220" s="614"/>
      <c r="AW220" s="614"/>
      <c r="AX220" s="614"/>
      <c r="AY220" s="614"/>
      <c r="AZ220" s="614"/>
      <c r="BA220" s="614"/>
      <c r="BB220" s="614"/>
      <c r="BC220" s="614"/>
      <c r="BD220" s="614"/>
      <c r="BE220" s="614"/>
      <c r="BF220" s="614"/>
      <c r="BG220" s="614"/>
      <c r="BH220" s="614"/>
      <c r="BI220" s="614"/>
      <c r="BJ220" s="614"/>
      <c r="BK220" s="614"/>
      <c r="BL220" s="614"/>
      <c r="BM220" s="614"/>
      <c r="BN220" s="614"/>
      <c r="BO220" s="614"/>
      <c r="BP220" s="614"/>
      <c r="BQ220" s="614"/>
      <c r="BR220" s="614"/>
      <c r="BS220" s="614"/>
      <c r="BT220" s="614"/>
      <c r="BU220" s="614"/>
      <c r="BV220" s="614"/>
      <c r="BW220" s="614"/>
      <c r="BX220" s="614"/>
      <c r="BY220" s="614"/>
      <c r="BZ220" s="614"/>
      <c r="CA220" s="614"/>
      <c r="CB220" s="614"/>
      <c r="CC220" s="614"/>
      <c r="CD220" s="614"/>
      <c r="CE220" s="614"/>
      <c r="CF220" s="614"/>
      <c r="CG220" s="614"/>
      <c r="CH220" s="614"/>
    </row>
    <row r="221" spans="1:292" ht="70" customHeight="1">
      <c r="V221" s="614"/>
      <c r="X221" s="614"/>
      <c r="Y221" s="614"/>
      <c r="Z221" s="614"/>
      <c r="AA221" s="614"/>
      <c r="AB221" s="614"/>
      <c r="AC221" s="614"/>
      <c r="AD221" s="614"/>
      <c r="AE221" s="614"/>
      <c r="AF221" s="614"/>
      <c r="AG221" s="614"/>
      <c r="AH221" s="614"/>
      <c r="AI221" s="614"/>
      <c r="AJ221" s="614"/>
      <c r="AK221" s="614"/>
      <c r="AL221" s="614"/>
      <c r="AM221" s="614"/>
      <c r="AN221" s="614"/>
      <c r="AO221" s="614"/>
      <c r="AP221" s="614"/>
      <c r="AQ221" s="614"/>
      <c r="AR221" s="614"/>
      <c r="AS221" s="614"/>
      <c r="AT221" s="614"/>
      <c r="AU221" s="614"/>
      <c r="AV221" s="614"/>
      <c r="AW221" s="614"/>
      <c r="AX221" s="614"/>
      <c r="AY221" s="614"/>
      <c r="AZ221" s="614"/>
      <c r="BA221" s="614"/>
      <c r="BB221" s="614"/>
      <c r="BC221" s="614"/>
      <c r="BD221" s="614"/>
      <c r="BE221" s="614"/>
      <c r="BF221" s="614"/>
      <c r="BG221" s="614"/>
      <c r="BH221" s="614"/>
      <c r="BI221" s="614"/>
      <c r="BJ221" s="614"/>
      <c r="BK221" s="614"/>
      <c r="BL221" s="614"/>
      <c r="BM221" s="614"/>
      <c r="BN221" s="614"/>
      <c r="BO221" s="614"/>
      <c r="BP221" s="614"/>
      <c r="BQ221" s="614"/>
      <c r="BR221" s="614"/>
      <c r="BS221" s="614"/>
      <c r="BT221" s="614"/>
      <c r="BU221" s="614"/>
      <c r="BV221" s="614"/>
      <c r="BW221" s="614"/>
      <c r="BX221" s="614"/>
      <c r="BY221" s="614"/>
      <c r="BZ221" s="614"/>
      <c r="CA221" s="614"/>
      <c r="CB221" s="614"/>
      <c r="CC221" s="614"/>
      <c r="CD221" s="614"/>
      <c r="CE221" s="614"/>
      <c r="CF221" s="614"/>
      <c r="CG221" s="614"/>
      <c r="CH221" s="614"/>
    </row>
    <row r="222" spans="1:292" ht="70" customHeight="1">
      <c r="V222" s="614"/>
      <c r="X222" s="614"/>
      <c r="Y222" s="614"/>
      <c r="Z222" s="614"/>
      <c r="AA222" s="614"/>
      <c r="AB222" s="614"/>
      <c r="AC222" s="614"/>
      <c r="AD222" s="614"/>
      <c r="AE222" s="614"/>
      <c r="AF222" s="614"/>
      <c r="AG222" s="614"/>
      <c r="AH222" s="614"/>
      <c r="AI222" s="614"/>
      <c r="AJ222" s="614"/>
      <c r="AK222" s="614"/>
      <c r="AL222" s="614"/>
      <c r="AM222" s="614"/>
      <c r="AN222" s="614"/>
      <c r="AO222" s="614"/>
      <c r="AP222" s="614"/>
      <c r="AQ222" s="614"/>
      <c r="AR222" s="614"/>
      <c r="AS222" s="614"/>
      <c r="AT222" s="614"/>
      <c r="AU222" s="614"/>
      <c r="AV222" s="614"/>
      <c r="AW222" s="614"/>
      <c r="AX222" s="614"/>
      <c r="AY222" s="614"/>
      <c r="AZ222" s="614"/>
      <c r="BA222" s="614"/>
      <c r="BB222" s="614"/>
      <c r="BC222" s="614"/>
      <c r="BD222" s="614"/>
      <c r="BE222" s="614"/>
      <c r="BF222" s="614"/>
      <c r="BG222" s="614"/>
      <c r="BH222" s="614"/>
      <c r="BI222" s="614"/>
      <c r="BJ222" s="614"/>
      <c r="BK222" s="614"/>
      <c r="BL222" s="614"/>
      <c r="BM222" s="614"/>
      <c r="BN222" s="614"/>
      <c r="BO222" s="614"/>
      <c r="BP222" s="614"/>
      <c r="BQ222" s="614"/>
      <c r="BR222" s="614"/>
      <c r="BS222" s="614"/>
      <c r="BT222" s="614"/>
      <c r="BU222" s="614"/>
      <c r="BV222" s="614"/>
      <c r="BW222" s="614"/>
      <c r="BX222" s="614"/>
      <c r="BY222" s="614"/>
      <c r="BZ222" s="614"/>
      <c r="CA222" s="614"/>
      <c r="CB222" s="614"/>
      <c r="CC222" s="614"/>
      <c r="CD222" s="614"/>
      <c r="CE222" s="614"/>
      <c r="CF222" s="614"/>
      <c r="CG222" s="614"/>
      <c r="CH222" s="614"/>
    </row>
    <row r="223" spans="1:292" ht="70" customHeight="1">
      <c r="V223" s="614"/>
      <c r="X223" s="614"/>
      <c r="Y223" s="614"/>
      <c r="Z223" s="614"/>
      <c r="AA223" s="614"/>
      <c r="AB223" s="614"/>
      <c r="AC223" s="614"/>
      <c r="AD223" s="614"/>
      <c r="AE223" s="614"/>
      <c r="AF223" s="614"/>
      <c r="AG223" s="614"/>
      <c r="AH223" s="614"/>
      <c r="AI223" s="614"/>
      <c r="AJ223" s="614"/>
      <c r="AK223" s="614"/>
      <c r="AL223" s="614"/>
      <c r="AM223" s="614"/>
      <c r="AN223" s="614"/>
      <c r="AO223" s="614"/>
      <c r="AP223" s="614"/>
      <c r="AQ223" s="614"/>
      <c r="AR223" s="614"/>
      <c r="AS223" s="614"/>
      <c r="AT223" s="614"/>
      <c r="AU223" s="614"/>
      <c r="AV223" s="614"/>
      <c r="AW223" s="614"/>
      <c r="AX223" s="614"/>
      <c r="AY223" s="614"/>
      <c r="AZ223" s="614"/>
      <c r="BA223" s="614"/>
      <c r="BB223" s="614"/>
      <c r="BC223" s="614"/>
      <c r="BD223" s="614"/>
      <c r="BE223" s="614"/>
      <c r="BF223" s="614"/>
      <c r="BG223" s="614"/>
      <c r="BH223" s="614"/>
      <c r="BI223" s="614"/>
      <c r="BJ223" s="614"/>
      <c r="BK223" s="614"/>
      <c r="BL223" s="614"/>
      <c r="BM223" s="614"/>
      <c r="BN223" s="614"/>
      <c r="BO223" s="614"/>
      <c r="BP223" s="614"/>
      <c r="BQ223" s="614"/>
      <c r="BR223" s="614"/>
      <c r="BS223" s="614"/>
      <c r="BT223" s="614"/>
      <c r="BU223" s="614"/>
      <c r="BV223" s="614"/>
      <c r="BW223" s="614"/>
      <c r="BX223" s="614"/>
      <c r="BY223" s="614"/>
      <c r="BZ223" s="614"/>
      <c r="CA223" s="614"/>
      <c r="CB223" s="614"/>
      <c r="CC223" s="614"/>
      <c r="CD223" s="614"/>
      <c r="CE223" s="614"/>
      <c r="CF223" s="614"/>
      <c r="CG223" s="614"/>
      <c r="CH223" s="614"/>
    </row>
    <row r="224" spans="1:292" ht="70" customHeight="1">
      <c r="V224" s="614"/>
      <c r="X224" s="614"/>
      <c r="Y224" s="614"/>
      <c r="Z224" s="614"/>
      <c r="AA224" s="614"/>
      <c r="AB224" s="614"/>
      <c r="AC224" s="614"/>
      <c r="AD224" s="614"/>
      <c r="AE224" s="614"/>
      <c r="AF224" s="614"/>
      <c r="AG224" s="614"/>
      <c r="AH224" s="614"/>
      <c r="AI224" s="614"/>
      <c r="AJ224" s="614"/>
      <c r="AK224" s="614"/>
      <c r="AL224" s="614"/>
      <c r="AM224" s="614"/>
      <c r="AN224" s="614"/>
      <c r="AO224" s="614"/>
      <c r="AP224" s="614"/>
      <c r="AQ224" s="614"/>
      <c r="AR224" s="614"/>
      <c r="AS224" s="614"/>
      <c r="AT224" s="614"/>
      <c r="AU224" s="614"/>
      <c r="AV224" s="614"/>
      <c r="AW224" s="614"/>
      <c r="AX224" s="614"/>
      <c r="AY224" s="614"/>
      <c r="AZ224" s="614"/>
      <c r="BA224" s="614"/>
      <c r="BB224" s="614"/>
      <c r="BC224" s="614"/>
      <c r="BD224" s="614"/>
      <c r="BE224" s="614"/>
      <c r="BF224" s="614"/>
      <c r="BG224" s="614"/>
      <c r="BH224" s="614"/>
      <c r="BI224" s="614"/>
      <c r="BJ224" s="614"/>
      <c r="BK224" s="614"/>
      <c r="BL224" s="614"/>
      <c r="BM224" s="614"/>
      <c r="BN224" s="614"/>
      <c r="BO224" s="614"/>
      <c r="BP224" s="614"/>
      <c r="BQ224" s="614"/>
      <c r="BR224" s="614"/>
      <c r="BS224" s="614"/>
      <c r="BT224" s="614"/>
      <c r="BU224" s="614"/>
      <c r="BV224" s="614"/>
      <c r="BW224" s="614"/>
      <c r="BX224" s="614"/>
      <c r="BY224" s="614"/>
      <c r="BZ224" s="614"/>
      <c r="CA224" s="614"/>
      <c r="CB224" s="614"/>
      <c r="CC224" s="614"/>
      <c r="CD224" s="614"/>
      <c r="CE224" s="614"/>
      <c r="CF224" s="614"/>
      <c r="CG224" s="614"/>
      <c r="CH224" s="614"/>
    </row>
    <row r="225" spans="22:86" ht="70" customHeight="1">
      <c r="V225" s="614"/>
      <c r="X225" s="614"/>
      <c r="Y225" s="614"/>
      <c r="Z225" s="614"/>
      <c r="AA225" s="614"/>
      <c r="AB225" s="614"/>
      <c r="AC225" s="614"/>
      <c r="AD225" s="614"/>
      <c r="AE225" s="614"/>
      <c r="AF225" s="614"/>
      <c r="AG225" s="614"/>
      <c r="AH225" s="614"/>
      <c r="AI225" s="614"/>
      <c r="AJ225" s="614"/>
      <c r="AK225" s="614"/>
      <c r="AL225" s="614"/>
      <c r="AM225" s="614"/>
      <c r="AN225" s="614"/>
      <c r="AO225" s="614"/>
      <c r="AP225" s="614"/>
      <c r="AQ225" s="614"/>
      <c r="AR225" s="614"/>
      <c r="AS225" s="614"/>
      <c r="AT225" s="614"/>
      <c r="AU225" s="614"/>
      <c r="AV225" s="614"/>
      <c r="AW225" s="614"/>
      <c r="AX225" s="614"/>
      <c r="AY225" s="614"/>
      <c r="AZ225" s="614"/>
      <c r="BA225" s="614"/>
      <c r="BB225" s="614"/>
      <c r="BC225" s="614"/>
      <c r="BD225" s="614"/>
      <c r="BE225" s="614"/>
      <c r="BF225" s="614"/>
      <c r="BG225" s="614"/>
      <c r="BH225" s="614"/>
      <c r="BI225" s="614"/>
      <c r="BJ225" s="614"/>
      <c r="BK225" s="614"/>
      <c r="BL225" s="614"/>
      <c r="BM225" s="614"/>
      <c r="BN225" s="614"/>
      <c r="BO225" s="614"/>
      <c r="BP225" s="614"/>
      <c r="BQ225" s="614"/>
      <c r="BR225" s="614"/>
      <c r="BS225" s="614"/>
      <c r="BT225" s="614"/>
      <c r="BU225" s="614"/>
      <c r="BV225" s="614"/>
      <c r="BW225" s="614"/>
      <c r="BX225" s="614"/>
      <c r="BY225" s="614"/>
      <c r="BZ225" s="614"/>
      <c r="CA225" s="614"/>
      <c r="CB225" s="614"/>
      <c r="CC225" s="614"/>
      <c r="CD225" s="614"/>
      <c r="CE225" s="614"/>
      <c r="CF225" s="614"/>
      <c r="CG225" s="614"/>
      <c r="CH225" s="614"/>
    </row>
    <row r="226" spans="22:86" ht="70" customHeight="1">
      <c r="V226" s="614"/>
      <c r="X226" s="614"/>
      <c r="Y226" s="614"/>
      <c r="Z226" s="614"/>
      <c r="AA226" s="614"/>
      <c r="AB226" s="614"/>
      <c r="AC226" s="614"/>
      <c r="AD226" s="614"/>
      <c r="AE226" s="614"/>
      <c r="AF226" s="614"/>
      <c r="AG226" s="614"/>
      <c r="AH226" s="614"/>
      <c r="AI226" s="614"/>
      <c r="AJ226" s="614"/>
      <c r="AK226" s="614"/>
      <c r="AL226" s="614"/>
      <c r="AM226" s="614"/>
      <c r="AN226" s="614"/>
      <c r="AO226" s="614"/>
      <c r="AP226" s="614"/>
      <c r="AQ226" s="614"/>
      <c r="AR226" s="614"/>
      <c r="AS226" s="614"/>
      <c r="AT226" s="614"/>
      <c r="AU226" s="614"/>
      <c r="AV226" s="614"/>
      <c r="AW226" s="614"/>
      <c r="AX226" s="614"/>
      <c r="AY226" s="614"/>
      <c r="AZ226" s="614"/>
      <c r="BA226" s="614"/>
      <c r="BB226" s="614"/>
      <c r="BC226" s="614"/>
      <c r="BD226" s="614"/>
      <c r="BE226" s="614"/>
      <c r="BF226" s="614"/>
      <c r="BG226" s="614"/>
      <c r="BH226" s="614"/>
      <c r="BI226" s="614"/>
      <c r="BJ226" s="614"/>
      <c r="BK226" s="614"/>
      <c r="BL226" s="614"/>
      <c r="BM226" s="614"/>
      <c r="BN226" s="614"/>
      <c r="BO226" s="614"/>
      <c r="BP226" s="614"/>
      <c r="BQ226" s="614"/>
      <c r="BR226" s="614"/>
      <c r="BS226" s="614"/>
      <c r="BT226" s="614"/>
      <c r="BU226" s="614"/>
      <c r="BV226" s="614"/>
      <c r="BW226" s="614"/>
      <c r="BX226" s="614"/>
      <c r="BY226" s="614"/>
      <c r="BZ226" s="614"/>
      <c r="CA226" s="614"/>
      <c r="CB226" s="614"/>
      <c r="CC226" s="614"/>
      <c r="CD226" s="614"/>
      <c r="CE226" s="614"/>
      <c r="CF226" s="614"/>
      <c r="CG226" s="614"/>
      <c r="CH226" s="614"/>
    </row>
    <row r="227" spans="22:86" ht="70" customHeight="1">
      <c r="V227" s="614"/>
      <c r="X227" s="614"/>
      <c r="Y227" s="614"/>
      <c r="Z227" s="614"/>
      <c r="AA227" s="614"/>
      <c r="AB227" s="614"/>
      <c r="AC227" s="614"/>
      <c r="AD227" s="614"/>
      <c r="AE227" s="614"/>
      <c r="AF227" s="614"/>
      <c r="AG227" s="614"/>
      <c r="AH227" s="614"/>
      <c r="AI227" s="614"/>
      <c r="AJ227" s="614"/>
      <c r="AK227" s="614"/>
      <c r="AL227" s="614"/>
      <c r="AM227" s="614"/>
      <c r="AN227" s="614"/>
      <c r="AO227" s="614"/>
      <c r="AP227" s="614"/>
      <c r="AQ227" s="614"/>
      <c r="AR227" s="614"/>
      <c r="AS227" s="614"/>
      <c r="AT227" s="614"/>
      <c r="AU227" s="614"/>
      <c r="AV227" s="614"/>
      <c r="AW227" s="614"/>
      <c r="AX227" s="614"/>
      <c r="AY227" s="614"/>
      <c r="AZ227" s="614"/>
      <c r="BA227" s="614"/>
      <c r="BB227" s="614"/>
      <c r="BC227" s="614"/>
      <c r="BD227" s="614"/>
      <c r="BE227" s="614"/>
      <c r="BF227" s="614"/>
      <c r="BG227" s="614"/>
      <c r="BH227" s="614"/>
      <c r="BI227" s="614"/>
      <c r="BJ227" s="614"/>
      <c r="BK227" s="614"/>
      <c r="BL227" s="614"/>
      <c r="BM227" s="614"/>
      <c r="BN227" s="614"/>
      <c r="BO227" s="614"/>
      <c r="BP227" s="614"/>
      <c r="BQ227" s="614"/>
      <c r="BR227" s="614"/>
      <c r="BS227" s="614"/>
      <c r="BT227" s="614"/>
      <c r="BU227" s="614"/>
      <c r="BV227" s="614"/>
      <c r="BW227" s="614"/>
      <c r="BX227" s="614"/>
      <c r="BY227" s="614"/>
      <c r="BZ227" s="614"/>
      <c r="CA227" s="614"/>
      <c r="CB227" s="614"/>
      <c r="CC227" s="614"/>
      <c r="CD227" s="614"/>
      <c r="CE227" s="614"/>
      <c r="CF227" s="614"/>
      <c r="CG227" s="614"/>
      <c r="CH227" s="614"/>
    </row>
    <row r="228" spans="22:86" ht="70" customHeight="1">
      <c r="V228" s="614"/>
      <c r="X228" s="614"/>
      <c r="Y228" s="614"/>
      <c r="Z228" s="614"/>
      <c r="AA228" s="614"/>
      <c r="AB228" s="614"/>
      <c r="AC228" s="614"/>
      <c r="AD228" s="614"/>
      <c r="AE228" s="614"/>
      <c r="AF228" s="614"/>
      <c r="AG228" s="614"/>
      <c r="AH228" s="614"/>
      <c r="AI228" s="614"/>
      <c r="AJ228" s="614"/>
      <c r="AK228" s="614"/>
      <c r="AL228" s="614"/>
      <c r="AM228" s="614"/>
      <c r="AN228" s="614"/>
      <c r="AO228" s="614"/>
      <c r="AP228" s="614"/>
      <c r="AQ228" s="614"/>
      <c r="AR228" s="614"/>
      <c r="AS228" s="614"/>
      <c r="AT228" s="614"/>
      <c r="AU228" s="614"/>
      <c r="AV228" s="614"/>
      <c r="AW228" s="614"/>
      <c r="AX228" s="614"/>
      <c r="AY228" s="614"/>
      <c r="AZ228" s="614"/>
      <c r="BA228" s="614"/>
      <c r="BB228" s="614"/>
      <c r="BC228" s="614"/>
      <c r="BD228" s="614"/>
      <c r="BE228" s="614"/>
      <c r="BF228" s="614"/>
      <c r="BG228" s="614"/>
      <c r="BH228" s="614"/>
      <c r="BI228" s="614"/>
      <c r="BJ228" s="614"/>
      <c r="BK228" s="614"/>
      <c r="BL228" s="614"/>
      <c r="BM228" s="614"/>
      <c r="BN228" s="614"/>
      <c r="BO228" s="614"/>
      <c r="BP228" s="614"/>
      <c r="BQ228" s="614"/>
      <c r="BR228" s="614"/>
      <c r="BS228" s="614"/>
      <c r="BT228" s="614"/>
      <c r="BU228" s="614"/>
      <c r="BV228" s="614"/>
      <c r="BW228" s="614"/>
      <c r="BX228" s="614"/>
      <c r="BY228" s="614"/>
      <c r="BZ228" s="614"/>
      <c r="CA228" s="614"/>
      <c r="CB228" s="614"/>
      <c r="CC228" s="614"/>
      <c r="CD228" s="614"/>
      <c r="CE228" s="614"/>
      <c r="CF228" s="614"/>
      <c r="CG228" s="614"/>
      <c r="CH228" s="614"/>
    </row>
    <row r="229" spans="22:86" ht="70" customHeight="1">
      <c r="V229" s="614"/>
      <c r="X229" s="614"/>
      <c r="Y229" s="614"/>
      <c r="Z229" s="614"/>
      <c r="AA229" s="614"/>
      <c r="AB229" s="614"/>
      <c r="AC229" s="614"/>
      <c r="AD229" s="614"/>
      <c r="AE229" s="614"/>
      <c r="AF229" s="614"/>
      <c r="AG229" s="614"/>
      <c r="AH229" s="614"/>
      <c r="AI229" s="614"/>
      <c r="AJ229" s="614"/>
      <c r="AK229" s="614"/>
      <c r="AL229" s="614"/>
      <c r="AM229" s="614"/>
      <c r="AN229" s="614"/>
      <c r="AO229" s="614"/>
      <c r="AP229" s="614"/>
      <c r="AQ229" s="614"/>
      <c r="AR229" s="614"/>
      <c r="AS229" s="614"/>
      <c r="AT229" s="614"/>
      <c r="AU229" s="614"/>
      <c r="AV229" s="614"/>
      <c r="AW229" s="614"/>
      <c r="AX229" s="614"/>
      <c r="AY229" s="614"/>
      <c r="AZ229" s="614"/>
      <c r="BA229" s="614"/>
      <c r="BB229" s="614"/>
      <c r="BC229" s="614"/>
      <c r="BD229" s="614"/>
      <c r="BE229" s="614"/>
      <c r="BF229" s="614"/>
      <c r="BG229" s="614"/>
      <c r="BH229" s="614"/>
      <c r="BI229" s="614"/>
      <c r="BJ229" s="614"/>
      <c r="BK229" s="614"/>
      <c r="BL229" s="614"/>
      <c r="BM229" s="614"/>
      <c r="BN229" s="614"/>
      <c r="BO229" s="614"/>
      <c r="BP229" s="614"/>
      <c r="BQ229" s="614"/>
      <c r="BR229" s="614"/>
      <c r="BS229" s="614"/>
      <c r="BT229" s="614"/>
      <c r="BU229" s="614"/>
      <c r="BV229" s="614"/>
      <c r="BW229" s="614"/>
      <c r="BX229" s="614"/>
      <c r="BY229" s="614"/>
      <c r="BZ229" s="614"/>
      <c r="CA229" s="614"/>
      <c r="CB229" s="614"/>
      <c r="CC229" s="614"/>
      <c r="CD229" s="614"/>
      <c r="CE229" s="614"/>
      <c r="CF229" s="614"/>
      <c r="CG229" s="614"/>
      <c r="CH229" s="614"/>
    </row>
    <row r="230" spans="22:86" ht="70" customHeight="1">
      <c r="V230" s="614"/>
      <c r="X230" s="614"/>
      <c r="Y230" s="614"/>
      <c r="Z230" s="614"/>
      <c r="AA230" s="614"/>
      <c r="AB230" s="614"/>
      <c r="AC230" s="614"/>
      <c r="AD230" s="614"/>
      <c r="AE230" s="614"/>
      <c r="AF230" s="614"/>
      <c r="AG230" s="614"/>
      <c r="AH230" s="614"/>
      <c r="AI230" s="614"/>
      <c r="AJ230" s="614"/>
      <c r="AK230" s="614"/>
      <c r="AL230" s="614"/>
      <c r="AM230" s="614"/>
      <c r="AN230" s="614"/>
      <c r="AO230" s="614"/>
      <c r="AP230" s="614"/>
      <c r="AQ230" s="614"/>
      <c r="AR230" s="614"/>
      <c r="AS230" s="614"/>
      <c r="AT230" s="614"/>
      <c r="AU230" s="614"/>
      <c r="AV230" s="614"/>
      <c r="AW230" s="614"/>
      <c r="AX230" s="614"/>
      <c r="AY230" s="614"/>
      <c r="AZ230" s="614"/>
      <c r="BA230" s="614"/>
      <c r="BB230" s="614"/>
      <c r="BC230" s="614"/>
      <c r="BD230" s="614"/>
      <c r="BE230" s="614"/>
      <c r="BF230" s="614"/>
      <c r="BG230" s="614"/>
      <c r="BH230" s="614"/>
      <c r="BI230" s="614"/>
      <c r="BJ230" s="614"/>
      <c r="BK230" s="614"/>
      <c r="BL230" s="614"/>
      <c r="BM230" s="614"/>
      <c r="BN230" s="614"/>
      <c r="BO230" s="614"/>
      <c r="BP230" s="614"/>
      <c r="BQ230" s="614"/>
      <c r="BR230" s="614"/>
      <c r="BS230" s="614"/>
      <c r="BT230" s="614"/>
      <c r="BU230" s="614"/>
      <c r="BV230" s="614"/>
      <c r="BW230" s="614"/>
      <c r="BX230" s="614"/>
      <c r="BY230" s="614"/>
      <c r="BZ230" s="614"/>
      <c r="CA230" s="614"/>
      <c r="CB230" s="614"/>
      <c r="CC230" s="614"/>
      <c r="CD230" s="614"/>
      <c r="CE230" s="614"/>
      <c r="CF230" s="614"/>
      <c r="CG230" s="614"/>
      <c r="CH230" s="614"/>
    </row>
    <row r="231" spans="22:86" ht="70" customHeight="1">
      <c r="V231" s="614"/>
      <c r="X231" s="614"/>
      <c r="Y231" s="614"/>
      <c r="Z231" s="614"/>
      <c r="AA231" s="614"/>
      <c r="AB231" s="614"/>
      <c r="AC231" s="614"/>
      <c r="AD231" s="614"/>
      <c r="AE231" s="614"/>
      <c r="AF231" s="614"/>
      <c r="AG231" s="614"/>
      <c r="AH231" s="614"/>
      <c r="AI231" s="614"/>
      <c r="AJ231" s="614"/>
      <c r="AK231" s="614"/>
      <c r="AL231" s="614"/>
      <c r="AM231" s="614"/>
      <c r="AN231" s="614"/>
      <c r="AO231" s="614"/>
      <c r="AP231" s="614"/>
      <c r="AQ231" s="614"/>
      <c r="AR231" s="614"/>
      <c r="AS231" s="614"/>
      <c r="AT231" s="614"/>
      <c r="AU231" s="614"/>
      <c r="AV231" s="614"/>
      <c r="AW231" s="614"/>
      <c r="AX231" s="614"/>
      <c r="AY231" s="614"/>
      <c r="AZ231" s="614"/>
      <c r="BA231" s="614"/>
      <c r="BB231" s="614"/>
      <c r="BC231" s="614"/>
      <c r="BD231" s="614"/>
      <c r="BE231" s="614"/>
      <c r="BF231" s="614"/>
      <c r="BG231" s="614"/>
      <c r="BH231" s="614"/>
      <c r="BI231" s="614"/>
      <c r="BJ231" s="614"/>
      <c r="BK231" s="614"/>
      <c r="BL231" s="614"/>
      <c r="BM231" s="614"/>
      <c r="BN231" s="614"/>
      <c r="BO231" s="614"/>
      <c r="BP231" s="614"/>
      <c r="BQ231" s="614"/>
      <c r="BR231" s="614"/>
      <c r="BS231" s="614"/>
      <c r="BT231" s="614"/>
      <c r="BU231" s="614"/>
      <c r="BV231" s="614"/>
      <c r="BW231" s="614"/>
      <c r="BX231" s="614"/>
      <c r="BY231" s="614"/>
      <c r="BZ231" s="614"/>
      <c r="CA231" s="614"/>
      <c r="CB231" s="614"/>
      <c r="CC231" s="614"/>
      <c r="CD231" s="614"/>
      <c r="CE231" s="614"/>
      <c r="CF231" s="614"/>
      <c r="CG231" s="614"/>
      <c r="CH231" s="614"/>
    </row>
    <row r="232" spans="22:86" ht="70" customHeight="1">
      <c r="V232" s="614"/>
      <c r="X232" s="614"/>
      <c r="Y232" s="614"/>
      <c r="Z232" s="614"/>
      <c r="AA232" s="614"/>
      <c r="AB232" s="614"/>
      <c r="AC232" s="614"/>
      <c r="AD232" s="614"/>
      <c r="AE232" s="614"/>
      <c r="AF232" s="614"/>
      <c r="AG232" s="614"/>
      <c r="AH232" s="614"/>
      <c r="AI232" s="614"/>
      <c r="AJ232" s="614"/>
      <c r="AK232" s="614"/>
      <c r="AL232" s="614"/>
      <c r="AM232" s="614"/>
      <c r="AN232" s="614"/>
      <c r="AO232" s="614"/>
      <c r="AP232" s="614"/>
      <c r="AQ232" s="614"/>
      <c r="AR232" s="614"/>
      <c r="AS232" s="614"/>
      <c r="AT232" s="614"/>
      <c r="AU232" s="614"/>
      <c r="AV232" s="614"/>
      <c r="AW232" s="614"/>
      <c r="AX232" s="614"/>
      <c r="AY232" s="614"/>
      <c r="AZ232" s="614"/>
      <c r="BA232" s="614"/>
      <c r="BB232" s="614"/>
      <c r="BC232" s="614"/>
      <c r="BD232" s="614"/>
      <c r="BE232" s="614"/>
      <c r="BF232" s="614"/>
      <c r="BG232" s="614"/>
      <c r="BH232" s="614"/>
      <c r="BI232" s="614"/>
      <c r="BJ232" s="614"/>
      <c r="BK232" s="614"/>
      <c r="BL232" s="614"/>
      <c r="BM232" s="614"/>
      <c r="BN232" s="614"/>
      <c r="BO232" s="614"/>
      <c r="BP232" s="614"/>
      <c r="BQ232" s="614"/>
      <c r="BR232" s="614"/>
      <c r="BS232" s="614"/>
      <c r="BT232" s="614"/>
      <c r="BU232" s="614"/>
      <c r="BV232" s="614"/>
      <c r="BW232" s="614"/>
      <c r="BX232" s="614"/>
      <c r="BY232" s="614"/>
      <c r="BZ232" s="614"/>
      <c r="CA232" s="614"/>
      <c r="CB232" s="614"/>
      <c r="CC232" s="614"/>
      <c r="CD232" s="614"/>
      <c r="CE232" s="614"/>
      <c r="CF232" s="614"/>
      <c r="CG232" s="614"/>
      <c r="CH232" s="614"/>
    </row>
    <row r="233" spans="22:86" ht="70" customHeight="1">
      <c r="V233" s="614"/>
      <c r="X233" s="614"/>
      <c r="Y233" s="614"/>
      <c r="Z233" s="614"/>
      <c r="AA233" s="614"/>
      <c r="AB233" s="614"/>
      <c r="AC233" s="614"/>
      <c r="AD233" s="614"/>
      <c r="AE233" s="614"/>
      <c r="AF233" s="614"/>
      <c r="AG233" s="614"/>
      <c r="AH233" s="614"/>
      <c r="AI233" s="614"/>
      <c r="AJ233" s="614"/>
      <c r="AK233" s="614"/>
      <c r="AL233" s="614"/>
      <c r="AM233" s="614"/>
      <c r="AN233" s="614"/>
      <c r="AO233" s="614"/>
      <c r="AP233" s="614"/>
      <c r="AQ233" s="614"/>
      <c r="AR233" s="614"/>
      <c r="AS233" s="614"/>
      <c r="AT233" s="614"/>
      <c r="AU233" s="614"/>
      <c r="AV233" s="614"/>
      <c r="AW233" s="614"/>
      <c r="AX233" s="614"/>
      <c r="AY233" s="614"/>
      <c r="AZ233" s="614"/>
      <c r="BA233" s="614"/>
      <c r="BB233" s="614"/>
      <c r="BC233" s="614"/>
      <c r="BD233" s="614"/>
      <c r="BE233" s="614"/>
      <c r="BF233" s="614"/>
      <c r="BG233" s="614"/>
      <c r="BH233" s="614"/>
      <c r="BI233" s="614"/>
      <c r="BJ233" s="614"/>
      <c r="BK233" s="614"/>
      <c r="BL233" s="614"/>
      <c r="BM233" s="614"/>
      <c r="BN233" s="614"/>
      <c r="BO233" s="614"/>
      <c r="BP233" s="614"/>
      <c r="BQ233" s="614"/>
      <c r="BR233" s="614"/>
      <c r="BS233" s="614"/>
      <c r="BT233" s="614"/>
      <c r="BU233" s="614"/>
      <c r="BV233" s="614"/>
      <c r="BW233" s="614"/>
      <c r="BX233" s="614"/>
      <c r="BY233" s="614"/>
      <c r="BZ233" s="614"/>
      <c r="CA233" s="614"/>
      <c r="CB233" s="614"/>
      <c r="CC233" s="614"/>
      <c r="CD233" s="614"/>
      <c r="CE233" s="614"/>
      <c r="CF233" s="614"/>
      <c r="CG233" s="614"/>
      <c r="CH233" s="614"/>
    </row>
    <row r="234" spans="22:86" ht="70" customHeight="1">
      <c r="V234" s="614"/>
      <c r="X234" s="614"/>
      <c r="Y234" s="614"/>
      <c r="Z234" s="614"/>
      <c r="AA234" s="614"/>
      <c r="AB234" s="614"/>
      <c r="AC234" s="614"/>
      <c r="AD234" s="614"/>
      <c r="AE234" s="614"/>
      <c r="AF234" s="614"/>
      <c r="AG234" s="614"/>
      <c r="AH234" s="614"/>
      <c r="AI234" s="614"/>
      <c r="AJ234" s="614"/>
      <c r="AK234" s="614"/>
      <c r="AL234" s="614"/>
      <c r="AM234" s="614"/>
      <c r="AN234" s="614"/>
      <c r="AO234" s="614"/>
      <c r="AP234" s="614"/>
      <c r="AQ234" s="614"/>
      <c r="AR234" s="614"/>
      <c r="AS234" s="614"/>
      <c r="AT234" s="614"/>
      <c r="AU234" s="614"/>
      <c r="AV234" s="614"/>
      <c r="AW234" s="614"/>
      <c r="AX234" s="614"/>
      <c r="AY234" s="614"/>
      <c r="AZ234" s="614"/>
      <c r="BA234" s="614"/>
      <c r="BB234" s="614"/>
      <c r="BC234" s="614"/>
      <c r="BD234" s="614"/>
      <c r="BE234" s="614"/>
      <c r="BF234" s="614"/>
      <c r="BG234" s="614"/>
      <c r="BH234" s="614"/>
      <c r="BI234" s="614"/>
      <c r="BJ234" s="614"/>
      <c r="BK234" s="614"/>
      <c r="BL234" s="614"/>
      <c r="BM234" s="614"/>
      <c r="BN234" s="614"/>
      <c r="BO234" s="614"/>
      <c r="BP234" s="614"/>
      <c r="BQ234" s="614"/>
      <c r="BR234" s="614"/>
      <c r="BS234" s="614"/>
      <c r="BT234" s="614"/>
      <c r="BU234" s="614"/>
      <c r="BV234" s="614"/>
      <c r="BW234" s="614"/>
      <c r="BX234" s="614"/>
      <c r="BY234" s="614"/>
      <c r="BZ234" s="614"/>
      <c r="CA234" s="614"/>
      <c r="CB234" s="614"/>
      <c r="CC234" s="614"/>
      <c r="CD234" s="614"/>
      <c r="CE234" s="614"/>
      <c r="CF234" s="614"/>
      <c r="CG234" s="614"/>
      <c r="CH234" s="614"/>
    </row>
    <row r="235" spans="22:86" ht="70" customHeight="1">
      <c r="V235" s="614"/>
      <c r="X235" s="614"/>
      <c r="Y235" s="614"/>
      <c r="Z235" s="614"/>
      <c r="AA235" s="614"/>
      <c r="AB235" s="614"/>
      <c r="AC235" s="614"/>
      <c r="AD235" s="614"/>
      <c r="AE235" s="614"/>
      <c r="AF235" s="614"/>
      <c r="AG235" s="614"/>
      <c r="AH235" s="614"/>
      <c r="AI235" s="614"/>
      <c r="AJ235" s="614"/>
      <c r="AK235" s="614"/>
      <c r="AL235" s="614"/>
      <c r="AM235" s="614"/>
      <c r="AN235" s="614"/>
      <c r="AO235" s="614"/>
      <c r="AP235" s="614"/>
      <c r="AQ235" s="614"/>
      <c r="AR235" s="614"/>
      <c r="AS235" s="614"/>
      <c r="AT235" s="614"/>
      <c r="AU235" s="614"/>
      <c r="AV235" s="614"/>
      <c r="AW235" s="614"/>
      <c r="AX235" s="614"/>
      <c r="AY235" s="614"/>
      <c r="AZ235" s="614"/>
      <c r="BA235" s="614"/>
      <c r="BB235" s="614"/>
      <c r="BC235" s="614"/>
      <c r="BD235" s="614"/>
      <c r="BE235" s="614"/>
      <c r="BF235" s="614"/>
      <c r="BG235" s="614"/>
      <c r="BH235" s="614"/>
      <c r="BI235" s="614"/>
      <c r="BJ235" s="614"/>
      <c r="BK235" s="614"/>
      <c r="BL235" s="614"/>
      <c r="BM235" s="614"/>
      <c r="BN235" s="614"/>
      <c r="BO235" s="614"/>
      <c r="BP235" s="614"/>
      <c r="BQ235" s="614"/>
      <c r="BR235" s="614"/>
      <c r="BS235" s="614"/>
      <c r="BT235" s="614"/>
      <c r="BU235" s="614"/>
      <c r="BV235" s="614"/>
      <c r="BW235" s="614"/>
      <c r="BX235" s="614"/>
      <c r="BY235" s="614"/>
      <c r="BZ235" s="614"/>
      <c r="CA235" s="614"/>
      <c r="CB235" s="614"/>
      <c r="CC235" s="614"/>
      <c r="CD235" s="614"/>
      <c r="CE235" s="614"/>
      <c r="CF235" s="614"/>
      <c r="CG235" s="614"/>
      <c r="CH235" s="614"/>
    </row>
    <row r="236" spans="22:86" ht="70" customHeight="1">
      <c r="V236" s="614"/>
      <c r="X236" s="614"/>
      <c r="Y236" s="614"/>
      <c r="Z236" s="614"/>
      <c r="AA236" s="614"/>
      <c r="AB236" s="614"/>
      <c r="AC236" s="614"/>
      <c r="AD236" s="614"/>
      <c r="AE236" s="614"/>
      <c r="AF236" s="614"/>
      <c r="AG236" s="614"/>
      <c r="AH236" s="614"/>
      <c r="AI236" s="614"/>
      <c r="AJ236" s="614"/>
      <c r="AK236" s="614"/>
      <c r="AL236" s="614"/>
      <c r="AM236" s="614"/>
      <c r="AN236" s="614"/>
      <c r="AO236" s="614"/>
      <c r="AP236" s="614"/>
      <c r="AQ236" s="614"/>
      <c r="AR236" s="614"/>
      <c r="AS236" s="614"/>
      <c r="AT236" s="614"/>
      <c r="AU236" s="614"/>
      <c r="AV236" s="614"/>
      <c r="AW236" s="614"/>
      <c r="AX236" s="614"/>
      <c r="AY236" s="614"/>
      <c r="AZ236" s="614"/>
      <c r="BA236" s="614"/>
      <c r="BB236" s="614"/>
      <c r="BC236" s="614"/>
      <c r="BD236" s="614"/>
      <c r="BE236" s="614"/>
      <c r="BF236" s="614"/>
      <c r="BG236" s="614"/>
      <c r="BH236" s="614"/>
      <c r="BI236" s="614"/>
      <c r="BJ236" s="614"/>
      <c r="BK236" s="614"/>
      <c r="BL236" s="614"/>
      <c r="BM236" s="614"/>
      <c r="BN236" s="614"/>
      <c r="BO236" s="614"/>
      <c r="BP236" s="614"/>
      <c r="BQ236" s="614"/>
      <c r="BR236" s="614"/>
      <c r="BS236" s="614"/>
      <c r="BT236" s="614"/>
      <c r="BU236" s="614"/>
      <c r="BV236" s="614"/>
      <c r="BW236" s="614"/>
      <c r="BX236" s="614"/>
      <c r="BY236" s="614"/>
      <c r="BZ236" s="614"/>
      <c r="CA236" s="614"/>
      <c r="CB236" s="614"/>
      <c r="CC236" s="614"/>
      <c r="CD236" s="614"/>
      <c r="CE236" s="614"/>
      <c r="CF236" s="614"/>
      <c r="CG236" s="614"/>
      <c r="CH236" s="614"/>
    </row>
    <row r="237" spans="22:86" ht="70" customHeight="1">
      <c r="V237" s="614"/>
      <c r="X237" s="614"/>
      <c r="Y237" s="614"/>
      <c r="Z237" s="614"/>
      <c r="AA237" s="614"/>
      <c r="AB237" s="614"/>
      <c r="AC237" s="614"/>
      <c r="AD237" s="614"/>
      <c r="AE237" s="614"/>
      <c r="AF237" s="614"/>
      <c r="AG237" s="614"/>
      <c r="AH237" s="614"/>
      <c r="AI237" s="614"/>
      <c r="AJ237" s="614"/>
      <c r="AK237" s="614"/>
      <c r="AL237" s="614"/>
      <c r="AM237" s="614"/>
      <c r="AN237" s="614"/>
      <c r="AO237" s="614"/>
      <c r="AP237" s="614"/>
      <c r="AQ237" s="614"/>
      <c r="AR237" s="614"/>
      <c r="AS237" s="614"/>
      <c r="AT237" s="614"/>
      <c r="AU237" s="614"/>
      <c r="AV237" s="614"/>
      <c r="AW237" s="614"/>
      <c r="AX237" s="614"/>
      <c r="AY237" s="614"/>
      <c r="AZ237" s="614"/>
      <c r="BA237" s="614"/>
      <c r="BB237" s="614"/>
      <c r="BC237" s="614"/>
      <c r="BD237" s="614"/>
      <c r="BE237" s="614"/>
      <c r="BF237" s="614"/>
      <c r="BG237" s="614"/>
      <c r="BH237" s="614"/>
      <c r="BI237" s="614"/>
      <c r="BJ237" s="614"/>
      <c r="BK237" s="614"/>
      <c r="BL237" s="614"/>
      <c r="BM237" s="614"/>
      <c r="BN237" s="614"/>
      <c r="BO237" s="614"/>
      <c r="BP237" s="614"/>
      <c r="BQ237" s="614"/>
      <c r="BR237" s="614"/>
      <c r="BS237" s="614"/>
      <c r="BT237" s="614"/>
      <c r="BU237" s="614"/>
      <c r="BV237" s="614"/>
      <c r="BW237" s="614"/>
      <c r="BX237" s="614"/>
      <c r="BY237" s="614"/>
      <c r="BZ237" s="614"/>
      <c r="CA237" s="614"/>
      <c r="CB237" s="614"/>
      <c r="CC237" s="614"/>
      <c r="CD237" s="614"/>
      <c r="CE237" s="614"/>
      <c r="CF237" s="614"/>
      <c r="CG237" s="614"/>
      <c r="CH237" s="614"/>
    </row>
    <row r="238" spans="22:86" ht="70" customHeight="1">
      <c r="V238" s="614"/>
      <c r="X238" s="614"/>
      <c r="Y238" s="614"/>
      <c r="Z238" s="614"/>
      <c r="AA238" s="614"/>
      <c r="AB238" s="614"/>
      <c r="AC238" s="614"/>
      <c r="AD238" s="614"/>
      <c r="AE238" s="614"/>
      <c r="AF238" s="614"/>
      <c r="AG238" s="614"/>
      <c r="AH238" s="614"/>
      <c r="AI238" s="614"/>
      <c r="AJ238" s="614"/>
      <c r="AK238" s="614"/>
      <c r="AL238" s="614"/>
      <c r="AM238" s="614"/>
      <c r="AN238" s="614"/>
      <c r="AO238" s="614"/>
      <c r="AP238" s="614"/>
      <c r="AQ238" s="614"/>
      <c r="AR238" s="614"/>
      <c r="AS238" s="614"/>
      <c r="AT238" s="614"/>
      <c r="AU238" s="614"/>
      <c r="AV238" s="614"/>
      <c r="AW238" s="614"/>
      <c r="AX238" s="614"/>
      <c r="AY238" s="614"/>
      <c r="AZ238" s="614"/>
      <c r="BA238" s="614"/>
      <c r="BB238" s="614"/>
      <c r="BC238" s="614"/>
      <c r="BD238" s="614"/>
      <c r="BE238" s="614"/>
      <c r="BF238" s="614"/>
      <c r="BG238" s="614"/>
      <c r="BH238" s="614"/>
      <c r="BI238" s="614"/>
      <c r="BJ238" s="614"/>
      <c r="BK238" s="614"/>
      <c r="BL238" s="614"/>
      <c r="BM238" s="614"/>
      <c r="BN238" s="614"/>
      <c r="BO238" s="614"/>
      <c r="BP238" s="614"/>
      <c r="BQ238" s="614"/>
      <c r="BR238" s="614"/>
      <c r="BS238" s="614"/>
      <c r="BT238" s="614"/>
      <c r="BU238" s="614"/>
      <c r="BV238" s="614"/>
      <c r="BW238" s="614"/>
      <c r="BX238" s="614"/>
      <c r="BY238" s="614"/>
      <c r="BZ238" s="614"/>
      <c r="CA238" s="614"/>
      <c r="CB238" s="614"/>
      <c r="CC238" s="614"/>
      <c r="CD238" s="614"/>
      <c r="CE238" s="614"/>
      <c r="CF238" s="614"/>
      <c r="CG238" s="614"/>
      <c r="CH238" s="614"/>
    </row>
  </sheetData>
  <mergeCells count="110">
    <mergeCell ref="Z74:AC74"/>
    <mergeCell ref="AO78:AU78"/>
    <mergeCell ref="BM183:BO183"/>
    <mergeCell ref="FY3:GB3"/>
    <mergeCell ref="BT18:CL18"/>
    <mergeCell ref="CB19:CL19"/>
    <mergeCell ref="AD39:AG39"/>
    <mergeCell ref="AS43:BD43"/>
    <mergeCell ref="BE43:BP43"/>
    <mergeCell ref="AV44:BD44"/>
    <mergeCell ref="BE44:BP44"/>
    <mergeCell ref="AE181:AH181"/>
    <mergeCell ref="BD182:BI182"/>
    <mergeCell ref="BJ182:BP182"/>
    <mergeCell ref="BK86:BR86"/>
    <mergeCell ref="AR79:AS79"/>
    <mergeCell ref="AU80:AX80"/>
    <mergeCell ref="AX81:AY81"/>
    <mergeCell ref="BA82:BC82"/>
    <mergeCell ref="BF84:BS84"/>
    <mergeCell ref="CO17:CS17"/>
    <mergeCell ref="DT3:DX3"/>
    <mergeCell ref="DY3:EB3"/>
    <mergeCell ref="CC3:CF3"/>
    <mergeCell ref="CT185:CU185"/>
    <mergeCell ref="AX186:CA186"/>
    <mergeCell ref="BN87:BO87"/>
    <mergeCell ref="AF11:AI11"/>
    <mergeCell ref="AL11:BD11"/>
    <mergeCell ref="AX15:CC15"/>
    <mergeCell ref="BD16:CJ16"/>
    <mergeCell ref="BL17:CL17"/>
    <mergeCell ref="CP3:CS3"/>
    <mergeCell ref="CT3:CW3"/>
    <mergeCell ref="X5:AD5"/>
    <mergeCell ref="X9:AA9"/>
    <mergeCell ref="AB9:AD9"/>
    <mergeCell ref="Y10:AA10"/>
    <mergeCell ref="AB10:AD10"/>
    <mergeCell ref="GG3:GK3"/>
    <mergeCell ref="EC3:EF3"/>
    <mergeCell ref="CG3:CK3"/>
    <mergeCell ref="CL3:CO3"/>
    <mergeCell ref="DG3:DJ3"/>
    <mergeCell ref="AG3:AJ3"/>
    <mergeCell ref="AK3:AN3"/>
    <mergeCell ref="AO3:AS3"/>
    <mergeCell ref="AT3:AW3"/>
    <mergeCell ref="DP3:DS3"/>
    <mergeCell ref="CX3:DB3"/>
    <mergeCell ref="DC3:DF3"/>
    <mergeCell ref="FK3:FO3"/>
    <mergeCell ref="FP3:FS3"/>
    <mergeCell ref="FT3:FX3"/>
    <mergeCell ref="GC3:GF3"/>
    <mergeCell ref="EG3:EK3"/>
    <mergeCell ref="EL3:EO3"/>
    <mergeCell ref="KC3:KF3"/>
    <mergeCell ref="O3:O4"/>
    <mergeCell ref="U3:U4"/>
    <mergeCell ref="V3:V4"/>
    <mergeCell ref="W3:W4"/>
    <mergeCell ref="X3:AB3"/>
    <mergeCell ref="IL3:IO3"/>
    <mergeCell ref="IP3:IS3"/>
    <mergeCell ref="IT3:IW3"/>
    <mergeCell ref="IX3:JB3"/>
    <mergeCell ref="AX3:BB3"/>
    <mergeCell ref="BC3:BF3"/>
    <mergeCell ref="BG3:BJ3"/>
    <mergeCell ref="BK3:BO3"/>
    <mergeCell ref="BP3:BS3"/>
    <mergeCell ref="BT3:BW3"/>
    <mergeCell ref="BX3:CB3"/>
    <mergeCell ref="AC3:AF3"/>
    <mergeCell ref="GT3:GW3"/>
    <mergeCell ref="HG3:HJ3"/>
    <mergeCell ref="A1:W1"/>
    <mergeCell ref="JG3:JJ3"/>
    <mergeCell ref="JK3:JO3"/>
    <mergeCell ref="JP3:JS3"/>
    <mergeCell ref="JT3:JX3"/>
    <mergeCell ref="EP3:ES3"/>
    <mergeCell ref="ET3:EW3"/>
    <mergeCell ref="EX3:FB3"/>
    <mergeCell ref="FC3:FF3"/>
    <mergeCell ref="P2:R2"/>
    <mergeCell ref="JY3:KB3"/>
    <mergeCell ref="JC3:JF3"/>
    <mergeCell ref="HP3:HS3"/>
    <mergeCell ref="HT3:HX3"/>
    <mergeCell ref="HY3:IB3"/>
    <mergeCell ref="IC3:IF3"/>
    <mergeCell ref="IG3:IK3"/>
    <mergeCell ref="A3:A4"/>
    <mergeCell ref="F3:F4"/>
    <mergeCell ref="G3:G4"/>
    <mergeCell ref="H3:H4"/>
    <mergeCell ref="I3:I4"/>
    <mergeCell ref="J3:J4"/>
    <mergeCell ref="L3:L4"/>
    <mergeCell ref="M3:M4"/>
    <mergeCell ref="N3:N4"/>
    <mergeCell ref="GL3:GO3"/>
    <mergeCell ref="GP3:GS3"/>
    <mergeCell ref="FG3:FJ3"/>
    <mergeCell ref="HK3:HO3"/>
    <mergeCell ref="GX3:HB3"/>
    <mergeCell ref="HC3:HF3"/>
    <mergeCell ref="DK3:DO3"/>
  </mergeCells>
  <phoneticPr fontId="31" type="noConversion"/>
  <pageMargins left="0.7" right="0.7" top="0.75" bottom="0.75" header="0.3" footer="0.3"/>
  <pageSetup paperSize="9" orientation="portrait" horizont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B2D2-5CB2-C244-BE95-0660C89B4540}">
  <dimension ref="A1:R430"/>
  <sheetViews>
    <sheetView zoomScale="75" zoomScaleNormal="107" workbookViewId="0">
      <pane xSplit="6" ySplit="124" topLeftCell="H206" activePane="bottomRight" state="frozen"/>
      <selection pane="topRight" activeCell="G1" sqref="G1"/>
      <selection pane="bottomLeft" activeCell="A125" sqref="A125"/>
      <selection pane="bottomRight" activeCell="A242" sqref="A242:XFD242"/>
    </sheetView>
  </sheetViews>
  <sheetFormatPr baseColWidth="10" defaultColWidth="65.83203125" defaultRowHeight="27.75" customHeight="1"/>
  <cols>
    <col min="1" max="1" width="65.83203125" style="720"/>
    <col min="2" max="3" width="0" style="279" hidden="1" customWidth="1"/>
    <col min="4" max="5" width="65.83203125" style="279" hidden="1" customWidth="1"/>
    <col min="6" max="6" width="0" style="279" hidden="1" customWidth="1"/>
    <col min="7" max="16384" width="65.83203125" style="279"/>
  </cols>
  <sheetData>
    <row r="1" spans="1:18" s="693" customFormat="1" ht="27.75" customHeight="1">
      <c r="A1" s="675" t="s">
        <v>791</v>
      </c>
      <c r="B1" s="676" t="s">
        <v>792</v>
      </c>
      <c r="C1" s="677" t="s">
        <v>793</v>
      </c>
      <c r="D1" s="678" t="s">
        <v>794</v>
      </c>
      <c r="E1" s="679" t="s">
        <v>795</v>
      </c>
      <c r="F1" s="680" t="s">
        <v>796</v>
      </c>
      <c r="G1" s="681" t="s">
        <v>797</v>
      </c>
      <c r="H1" s="682" t="s">
        <v>798</v>
      </c>
      <c r="I1" s="683" t="s">
        <v>799</v>
      </c>
      <c r="J1" s="684" t="s">
        <v>800</v>
      </c>
      <c r="K1" s="685" t="s">
        <v>801</v>
      </c>
      <c r="L1" s="686" t="s">
        <v>802</v>
      </c>
      <c r="M1" s="687" t="s">
        <v>803</v>
      </c>
      <c r="N1" s="688" t="s">
        <v>804</v>
      </c>
      <c r="O1" s="689" t="s">
        <v>805</v>
      </c>
      <c r="P1" s="690" t="s">
        <v>806</v>
      </c>
      <c r="Q1" s="691" t="s">
        <v>807</v>
      </c>
      <c r="R1" s="692" t="s">
        <v>808</v>
      </c>
    </row>
    <row r="2" spans="1:18" s="695" customFormat="1" ht="27.75" hidden="1" customHeight="1">
      <c r="A2" s="694">
        <v>45990</v>
      </c>
    </row>
    <row r="3" spans="1:18" s="695" customFormat="1" ht="27.75" hidden="1" customHeight="1">
      <c r="A3" s="694">
        <v>45991</v>
      </c>
    </row>
    <row r="4" spans="1:18" ht="27.75" hidden="1" customHeight="1">
      <c r="A4" s="696">
        <v>45992</v>
      </c>
    </row>
    <row r="5" spans="1:18" ht="27.75" hidden="1" customHeight="1">
      <c r="A5" s="696">
        <v>45993</v>
      </c>
    </row>
    <row r="6" spans="1:18" ht="27.75" hidden="1" customHeight="1">
      <c r="A6" s="696">
        <v>45994</v>
      </c>
    </row>
    <row r="7" spans="1:18" ht="27.75" hidden="1" customHeight="1">
      <c r="A7" s="696">
        <v>45995</v>
      </c>
    </row>
    <row r="8" spans="1:18" ht="27.75" hidden="1" customHeight="1">
      <c r="A8" s="696">
        <v>45996</v>
      </c>
    </row>
    <row r="9" spans="1:18" s="695" customFormat="1" ht="27.75" hidden="1" customHeight="1">
      <c r="A9" s="694">
        <v>45997</v>
      </c>
    </row>
    <row r="10" spans="1:18" s="695" customFormat="1" ht="27.75" hidden="1" customHeight="1">
      <c r="A10" s="694">
        <v>45998</v>
      </c>
    </row>
    <row r="11" spans="1:18" ht="27.75" hidden="1" customHeight="1">
      <c r="A11" s="696">
        <v>45999</v>
      </c>
    </row>
    <row r="12" spans="1:18" ht="27.75" hidden="1" customHeight="1">
      <c r="A12" s="696">
        <v>46000</v>
      </c>
    </row>
    <row r="13" spans="1:18" ht="27.75" hidden="1" customHeight="1">
      <c r="A13" s="696">
        <v>46001</v>
      </c>
    </row>
    <row r="14" spans="1:18" ht="27.75" hidden="1" customHeight="1">
      <c r="A14" s="696">
        <v>46002</v>
      </c>
    </row>
    <row r="15" spans="1:18" ht="27" hidden="1" customHeight="1">
      <c r="A15" s="696">
        <v>46003</v>
      </c>
    </row>
    <row r="16" spans="1:18" s="695" customFormat="1" ht="27.75" hidden="1" customHeight="1">
      <c r="A16" s="694">
        <v>46004</v>
      </c>
    </row>
    <row r="17" spans="1:3" s="695" customFormat="1" ht="27.75" hidden="1" customHeight="1">
      <c r="A17" s="694">
        <v>46005</v>
      </c>
    </row>
    <row r="18" spans="1:3" ht="27.75" hidden="1" customHeight="1">
      <c r="A18" s="696">
        <v>46006</v>
      </c>
    </row>
    <row r="19" spans="1:3" ht="27.75" hidden="1" customHeight="1">
      <c r="A19" s="696">
        <v>46007</v>
      </c>
      <c r="B19" s="697" t="s">
        <v>809</v>
      </c>
    </row>
    <row r="20" spans="1:3" ht="27.75" hidden="1" customHeight="1">
      <c r="A20" s="698">
        <v>46008</v>
      </c>
      <c r="B20" s="78" t="s">
        <v>810</v>
      </c>
      <c r="C20" s="279" t="s">
        <v>224</v>
      </c>
    </row>
    <row r="21" spans="1:3" ht="27.75" hidden="1" customHeight="1">
      <c r="A21" s="698">
        <v>46009</v>
      </c>
      <c r="B21" s="699" t="s">
        <v>811</v>
      </c>
    </row>
    <row r="22" spans="1:3" ht="27.75" hidden="1" customHeight="1">
      <c r="A22" s="696">
        <v>46010</v>
      </c>
      <c r="B22" s="700" t="s">
        <v>812</v>
      </c>
    </row>
    <row r="23" spans="1:3" s="695" customFormat="1" ht="27.75" hidden="1" customHeight="1">
      <c r="A23" s="694">
        <v>46011</v>
      </c>
      <c r="B23" s="78" t="s">
        <v>813</v>
      </c>
    </row>
    <row r="24" spans="1:3" s="695" customFormat="1" ht="27.75" hidden="1" customHeight="1">
      <c r="A24" s="694">
        <v>46012</v>
      </c>
      <c r="B24" s="66" t="s">
        <v>813</v>
      </c>
    </row>
    <row r="25" spans="1:3" ht="27.75" hidden="1" customHeight="1">
      <c r="A25" s="696">
        <v>46013</v>
      </c>
      <c r="B25" s="701" t="s">
        <v>814</v>
      </c>
    </row>
    <row r="26" spans="1:3" ht="27" hidden="1" customHeight="1">
      <c r="A26" s="696">
        <v>46014</v>
      </c>
      <c r="B26" s="702" t="s">
        <v>815</v>
      </c>
    </row>
    <row r="27" spans="1:3" s="704" customFormat="1" ht="27.75" hidden="1" customHeight="1">
      <c r="A27" s="703">
        <v>46015</v>
      </c>
      <c r="B27" s="702" t="s">
        <v>815</v>
      </c>
    </row>
    <row r="28" spans="1:3" s="704" customFormat="1" ht="27.75" hidden="1" customHeight="1">
      <c r="A28" s="703">
        <v>46016</v>
      </c>
      <c r="B28" s="702" t="s">
        <v>815</v>
      </c>
    </row>
    <row r="29" spans="1:3" ht="27.75" hidden="1" customHeight="1">
      <c r="A29" s="696">
        <v>46017</v>
      </c>
      <c r="B29" s="702" t="s">
        <v>815</v>
      </c>
    </row>
    <row r="30" spans="1:3" s="695" customFormat="1" ht="27.75" hidden="1" customHeight="1">
      <c r="A30" s="694">
        <v>46018</v>
      </c>
      <c r="B30" s="702" t="s">
        <v>815</v>
      </c>
    </row>
    <row r="31" spans="1:3" s="695" customFormat="1" ht="27.75" hidden="1" customHeight="1">
      <c r="A31" s="694">
        <v>46019</v>
      </c>
      <c r="B31" s="705" t="s">
        <v>816</v>
      </c>
    </row>
    <row r="32" spans="1:3" ht="27.75" hidden="1" customHeight="1">
      <c r="A32" s="696">
        <v>46020</v>
      </c>
      <c r="B32" s="351" t="s">
        <v>817</v>
      </c>
    </row>
    <row r="33" spans="1:3" ht="27.75" hidden="1" customHeight="1">
      <c r="A33" s="696">
        <v>46021</v>
      </c>
      <c r="B33" s="351" t="s">
        <v>817</v>
      </c>
    </row>
    <row r="34" spans="1:3" s="704" customFormat="1" ht="27.75" hidden="1" customHeight="1">
      <c r="A34" s="703">
        <v>46022</v>
      </c>
      <c r="B34" s="706" t="s">
        <v>817</v>
      </c>
    </row>
    <row r="35" spans="1:3" s="704" customFormat="1" ht="27.75" hidden="1" customHeight="1">
      <c r="A35" s="703">
        <v>46023</v>
      </c>
      <c r="B35" s="706" t="s">
        <v>817</v>
      </c>
    </row>
    <row r="36" spans="1:3" ht="27.75" hidden="1" customHeight="1">
      <c r="A36" s="696">
        <v>46024</v>
      </c>
      <c r="B36" s="351" t="s">
        <v>817</v>
      </c>
    </row>
    <row r="37" spans="1:3" s="695" customFormat="1" ht="27.75" hidden="1" customHeight="1">
      <c r="A37" s="694">
        <v>46025</v>
      </c>
      <c r="B37" s="705" t="s">
        <v>817</v>
      </c>
    </row>
    <row r="38" spans="1:3" s="695" customFormat="1" ht="27.75" hidden="1" customHeight="1">
      <c r="A38" s="694">
        <v>46026</v>
      </c>
      <c r="B38" s="705" t="s">
        <v>817</v>
      </c>
    </row>
    <row r="39" spans="1:3" ht="27.75" hidden="1" customHeight="1">
      <c r="A39" s="696">
        <v>46027</v>
      </c>
      <c r="B39" s="707" t="s">
        <v>818</v>
      </c>
    </row>
    <row r="40" spans="1:3" ht="27.75" hidden="1" customHeight="1">
      <c r="A40" s="696">
        <v>46028</v>
      </c>
      <c r="B40" s="391" t="s">
        <v>819</v>
      </c>
    </row>
    <row r="41" spans="1:3" ht="27.75" hidden="1" customHeight="1">
      <c r="A41" s="696">
        <v>46029</v>
      </c>
      <c r="B41" s="391" t="s">
        <v>819</v>
      </c>
    </row>
    <row r="42" spans="1:3" ht="27.75" hidden="1" customHeight="1">
      <c r="A42" s="696">
        <v>46030</v>
      </c>
    </row>
    <row r="43" spans="1:3" ht="27" hidden="1" customHeight="1">
      <c r="A43" s="696">
        <v>46031</v>
      </c>
    </row>
    <row r="44" spans="1:3" s="695" customFormat="1" ht="27.75" hidden="1" customHeight="1">
      <c r="A44" s="694">
        <v>46032</v>
      </c>
    </row>
    <row r="45" spans="1:3" s="695" customFormat="1" ht="27.75" hidden="1" customHeight="1">
      <c r="A45" s="694">
        <v>46033</v>
      </c>
      <c r="C45" s="677" t="s">
        <v>793</v>
      </c>
    </row>
    <row r="46" spans="1:3" s="709" customFormat="1" ht="27.75" hidden="1" customHeight="1">
      <c r="A46" s="708">
        <v>46034</v>
      </c>
      <c r="C46" s="362" t="s">
        <v>820</v>
      </c>
    </row>
    <row r="47" spans="1:3" s="709" customFormat="1" ht="27.75" hidden="1" customHeight="1">
      <c r="A47" s="708">
        <v>46035</v>
      </c>
      <c r="C47" s="362" t="s">
        <v>810</v>
      </c>
    </row>
    <row r="48" spans="1:3" s="709" customFormat="1" ht="27.75" hidden="1" customHeight="1">
      <c r="A48" s="708">
        <v>46036</v>
      </c>
      <c r="C48" s="362" t="s">
        <v>811</v>
      </c>
    </row>
    <row r="49" spans="1:4" s="709" customFormat="1" ht="27.75" hidden="1" customHeight="1">
      <c r="A49" s="708">
        <v>46037</v>
      </c>
      <c r="C49" s="700" t="s">
        <v>812</v>
      </c>
    </row>
    <row r="50" spans="1:4" s="709" customFormat="1" ht="27.75" hidden="1" customHeight="1">
      <c r="A50" s="708">
        <v>46038</v>
      </c>
      <c r="C50" s="362" t="s">
        <v>813</v>
      </c>
    </row>
    <row r="51" spans="1:4" s="709" customFormat="1" ht="27.75" hidden="1" customHeight="1">
      <c r="A51" s="708">
        <v>46039</v>
      </c>
      <c r="C51" s="362" t="s">
        <v>813</v>
      </c>
    </row>
    <row r="52" spans="1:4" s="709" customFormat="1" ht="27.75" hidden="1" customHeight="1">
      <c r="A52" s="708">
        <v>46040</v>
      </c>
      <c r="C52" s="362" t="s">
        <v>813</v>
      </c>
    </row>
    <row r="53" spans="1:4" s="709" customFormat="1" ht="27.75" hidden="1" customHeight="1">
      <c r="A53" s="708">
        <v>46041</v>
      </c>
      <c r="C53" s="362" t="s">
        <v>813</v>
      </c>
    </row>
    <row r="54" spans="1:4" s="709" customFormat="1" ht="27.75" hidden="1" customHeight="1">
      <c r="A54" s="708">
        <v>46042</v>
      </c>
      <c r="C54" s="362" t="s">
        <v>813</v>
      </c>
    </row>
    <row r="55" spans="1:4" s="709" customFormat="1" ht="27.75" hidden="1" customHeight="1">
      <c r="A55" s="708">
        <v>46043</v>
      </c>
      <c r="C55" s="362" t="s">
        <v>821</v>
      </c>
    </row>
    <row r="56" spans="1:4" s="709" customFormat="1" ht="27.75" hidden="1" customHeight="1">
      <c r="A56" s="708">
        <v>46044</v>
      </c>
      <c r="C56" s="701" t="s">
        <v>814</v>
      </c>
    </row>
    <row r="57" spans="1:4" s="704" customFormat="1" ht="27.75" hidden="1" customHeight="1">
      <c r="A57" s="703">
        <v>46045</v>
      </c>
      <c r="C57" s="702" t="s">
        <v>815</v>
      </c>
    </row>
    <row r="58" spans="1:4" s="704" customFormat="1" ht="27.75" hidden="1" customHeight="1">
      <c r="A58" s="703">
        <v>46046</v>
      </c>
      <c r="C58" s="702" t="s">
        <v>815</v>
      </c>
    </row>
    <row r="59" spans="1:4" s="704" customFormat="1" ht="27.75" hidden="1" customHeight="1">
      <c r="A59" s="703">
        <v>46047</v>
      </c>
      <c r="C59" s="702" t="s">
        <v>815</v>
      </c>
    </row>
    <row r="60" spans="1:4" s="704" customFormat="1" ht="27.75" hidden="1" customHeight="1">
      <c r="A60" s="703">
        <v>46048</v>
      </c>
      <c r="C60" s="702" t="s">
        <v>815</v>
      </c>
      <c r="D60" s="710"/>
    </row>
    <row r="61" spans="1:4" ht="27.75" hidden="1" customHeight="1">
      <c r="A61" s="696">
        <v>46049</v>
      </c>
      <c r="C61" s="702" t="s">
        <v>815</v>
      </c>
    </row>
    <row r="62" spans="1:4" ht="27.75" hidden="1" customHeight="1">
      <c r="A62" s="696">
        <v>46050</v>
      </c>
      <c r="C62" s="351" t="s">
        <v>816</v>
      </c>
    </row>
    <row r="63" spans="1:4" ht="27.75" hidden="1" customHeight="1">
      <c r="A63" s="696">
        <v>46051</v>
      </c>
      <c r="C63" s="351" t="s">
        <v>817</v>
      </c>
    </row>
    <row r="64" spans="1:4" ht="27.75" hidden="1" customHeight="1">
      <c r="A64" s="696">
        <v>46052</v>
      </c>
      <c r="C64" s="351" t="s">
        <v>817</v>
      </c>
    </row>
    <row r="65" spans="1:3" s="695" customFormat="1" ht="27.75" hidden="1" customHeight="1">
      <c r="A65" s="694">
        <v>46053</v>
      </c>
      <c r="C65" s="705" t="s">
        <v>817</v>
      </c>
    </row>
    <row r="66" spans="1:3" s="695" customFormat="1" ht="27.75" hidden="1" customHeight="1">
      <c r="A66" s="694">
        <v>46054</v>
      </c>
      <c r="C66" s="705" t="s">
        <v>817</v>
      </c>
    </row>
    <row r="67" spans="1:3" ht="27.75" hidden="1" customHeight="1">
      <c r="A67" s="696">
        <v>46055</v>
      </c>
      <c r="C67" s="351" t="s">
        <v>817</v>
      </c>
    </row>
    <row r="68" spans="1:3" ht="27.75" hidden="1" customHeight="1">
      <c r="A68" s="696">
        <v>46056</v>
      </c>
      <c r="C68" s="351" t="s">
        <v>817</v>
      </c>
    </row>
    <row r="69" spans="1:3" ht="27.75" hidden="1" customHeight="1">
      <c r="A69" s="696">
        <v>46057</v>
      </c>
      <c r="C69" s="351" t="s">
        <v>817</v>
      </c>
    </row>
    <row r="70" spans="1:3" ht="27.75" hidden="1" customHeight="1">
      <c r="A70" s="696">
        <v>46058</v>
      </c>
      <c r="C70" s="351" t="s">
        <v>817</v>
      </c>
    </row>
    <row r="71" spans="1:3" ht="27.75" hidden="1" customHeight="1">
      <c r="A71" s="696">
        <v>46059</v>
      </c>
      <c r="C71" s="351" t="s">
        <v>817</v>
      </c>
    </row>
    <row r="72" spans="1:3" s="695" customFormat="1" ht="27.75" hidden="1" customHeight="1">
      <c r="A72" s="694">
        <v>46060</v>
      </c>
      <c r="C72" s="705" t="s">
        <v>817</v>
      </c>
    </row>
    <row r="73" spans="1:3" s="695" customFormat="1" ht="27.75" hidden="1" customHeight="1">
      <c r="A73" s="694">
        <v>46061</v>
      </c>
      <c r="C73" s="705" t="s">
        <v>817</v>
      </c>
    </row>
    <row r="74" spans="1:3" ht="27.75" hidden="1" customHeight="1">
      <c r="A74" s="696">
        <v>46062</v>
      </c>
      <c r="C74" s="707" t="s">
        <v>818</v>
      </c>
    </row>
    <row r="75" spans="1:3" ht="27" hidden="1" customHeight="1">
      <c r="A75" s="698">
        <v>46063</v>
      </c>
      <c r="C75" s="707" t="s">
        <v>819</v>
      </c>
    </row>
    <row r="76" spans="1:3" ht="27.75" hidden="1" customHeight="1">
      <c r="A76" s="698">
        <v>46064</v>
      </c>
      <c r="C76" s="707" t="s">
        <v>819</v>
      </c>
    </row>
    <row r="77" spans="1:3" ht="27.75" hidden="1" customHeight="1">
      <c r="A77" s="698">
        <v>46065</v>
      </c>
    </row>
    <row r="78" spans="1:3" s="695" customFormat="1" ht="27.75" hidden="1" customHeight="1">
      <c r="A78" s="694">
        <v>46066</v>
      </c>
    </row>
    <row r="79" spans="1:3" s="695" customFormat="1" ht="27.75" hidden="1" customHeight="1">
      <c r="A79" s="694">
        <v>46067</v>
      </c>
    </row>
    <row r="80" spans="1:3" s="695" customFormat="1" ht="27.75" hidden="1" customHeight="1">
      <c r="A80" s="694">
        <v>46068</v>
      </c>
    </row>
    <row r="81" spans="1:1" s="695" customFormat="1" ht="27.75" hidden="1" customHeight="1">
      <c r="A81" s="694">
        <v>46069</v>
      </c>
    </row>
    <row r="82" spans="1:1" s="695" customFormat="1" ht="27.75" hidden="1" customHeight="1">
      <c r="A82" s="694">
        <v>46070</v>
      </c>
    </row>
    <row r="83" spans="1:1" s="695" customFormat="1" ht="27.75" hidden="1" customHeight="1">
      <c r="A83" s="694">
        <v>46071</v>
      </c>
    </row>
    <row r="84" spans="1:1" s="695" customFormat="1" ht="27.75" hidden="1" customHeight="1">
      <c r="A84" s="694">
        <v>46072</v>
      </c>
    </row>
    <row r="85" spans="1:1" s="695" customFormat="1" ht="27.75" hidden="1" customHeight="1">
      <c r="A85" s="694">
        <v>46073</v>
      </c>
    </row>
    <row r="86" spans="1:1" s="695" customFormat="1" ht="27.75" hidden="1" customHeight="1">
      <c r="A86" s="694">
        <v>46074</v>
      </c>
    </row>
    <row r="87" spans="1:1" s="695" customFormat="1" ht="27.75" hidden="1" customHeight="1">
      <c r="A87" s="694">
        <v>46075</v>
      </c>
    </row>
    <row r="88" spans="1:1" ht="27.75" hidden="1" customHeight="1">
      <c r="A88" s="698">
        <v>46076</v>
      </c>
    </row>
    <row r="89" spans="1:1" ht="27.75" hidden="1" customHeight="1">
      <c r="A89" s="698">
        <v>46077</v>
      </c>
    </row>
    <row r="90" spans="1:1" ht="27.75" hidden="1" customHeight="1">
      <c r="A90" s="698">
        <v>46078</v>
      </c>
    </row>
    <row r="91" spans="1:1" ht="27.75" hidden="1" customHeight="1">
      <c r="A91" s="698">
        <v>46079</v>
      </c>
    </row>
    <row r="92" spans="1:1" ht="27.75" hidden="1" customHeight="1">
      <c r="A92" s="698">
        <v>46080</v>
      </c>
    </row>
    <row r="93" spans="1:1" s="695" customFormat="1" ht="27.75" hidden="1" customHeight="1">
      <c r="A93" s="694">
        <v>46081</v>
      </c>
    </row>
    <row r="94" spans="1:1" s="695" customFormat="1" ht="27.75" hidden="1" customHeight="1">
      <c r="A94" s="694">
        <v>46082</v>
      </c>
    </row>
    <row r="95" spans="1:1" s="712" customFormat="1" ht="27.75" hidden="1" customHeight="1">
      <c r="A95" s="711">
        <v>46083</v>
      </c>
    </row>
    <row r="96" spans="1:1" s="712" customFormat="1" ht="27.75" hidden="1" customHeight="1">
      <c r="A96" s="711">
        <v>46084</v>
      </c>
    </row>
    <row r="97" spans="1:4" s="712" customFormat="1" ht="27.75" hidden="1" customHeight="1">
      <c r="A97" s="711">
        <v>46085</v>
      </c>
    </row>
    <row r="98" spans="1:4" s="712" customFormat="1" ht="27.75" hidden="1" customHeight="1">
      <c r="A98" s="711">
        <v>46086</v>
      </c>
    </row>
    <row r="99" spans="1:4" s="712" customFormat="1" ht="27.75" hidden="1" customHeight="1">
      <c r="A99" s="711">
        <v>46087</v>
      </c>
    </row>
    <row r="100" spans="1:4" s="695" customFormat="1" ht="27.75" hidden="1" customHeight="1">
      <c r="A100" s="694">
        <v>46088</v>
      </c>
    </row>
    <row r="101" spans="1:4" s="695" customFormat="1" ht="27.75" hidden="1" customHeight="1">
      <c r="A101" s="694">
        <v>46089</v>
      </c>
    </row>
    <row r="102" spans="1:4" ht="27.75" hidden="1" customHeight="1">
      <c r="A102" s="696">
        <v>46090</v>
      </c>
    </row>
    <row r="103" spans="1:4" ht="27.75" hidden="1" customHeight="1">
      <c r="A103" s="696">
        <v>46091</v>
      </c>
    </row>
    <row r="104" spans="1:4" ht="27.75" hidden="1" customHeight="1">
      <c r="A104" s="696">
        <v>46092</v>
      </c>
    </row>
    <row r="105" spans="1:4" ht="27.75" hidden="1" customHeight="1">
      <c r="A105" s="696">
        <v>46093</v>
      </c>
    </row>
    <row r="106" spans="1:4" ht="27.75" hidden="1" customHeight="1">
      <c r="A106" s="696">
        <v>46094</v>
      </c>
    </row>
    <row r="107" spans="1:4" s="695" customFormat="1" ht="27.75" hidden="1" customHeight="1">
      <c r="A107" s="694">
        <v>46095</v>
      </c>
    </row>
    <row r="108" spans="1:4" s="695" customFormat="1" ht="27.75" hidden="1" customHeight="1">
      <c r="A108" s="694">
        <v>46096</v>
      </c>
    </row>
    <row r="109" spans="1:4" ht="27.75" hidden="1" customHeight="1">
      <c r="A109" s="696">
        <v>46097</v>
      </c>
      <c r="D109" s="678" t="s">
        <v>822</v>
      </c>
    </row>
    <row r="110" spans="1:4" ht="27.75" hidden="1" customHeight="1">
      <c r="A110" s="696">
        <v>46098</v>
      </c>
      <c r="D110" s="66" t="s">
        <v>810</v>
      </c>
    </row>
    <row r="111" spans="1:4" ht="27.75" hidden="1" customHeight="1">
      <c r="A111" s="696">
        <v>46099</v>
      </c>
      <c r="D111" s="78" t="s">
        <v>811</v>
      </c>
    </row>
    <row r="112" spans="1:4" ht="27.75" hidden="1" customHeight="1">
      <c r="A112" s="696">
        <v>46100</v>
      </c>
      <c r="D112" s="78" t="s">
        <v>811</v>
      </c>
    </row>
    <row r="113" spans="1:5" ht="27.75" hidden="1" customHeight="1">
      <c r="A113" s="696">
        <v>46101</v>
      </c>
      <c r="D113" s="700" t="s">
        <v>812</v>
      </c>
    </row>
    <row r="114" spans="1:5" s="695" customFormat="1" ht="27.75" hidden="1" customHeight="1">
      <c r="A114" s="694">
        <v>46102</v>
      </c>
      <c r="D114" s="699" t="s">
        <v>823</v>
      </c>
    </row>
    <row r="115" spans="1:5" s="695" customFormat="1" ht="27.75" hidden="1" customHeight="1">
      <c r="A115" s="694">
        <v>46103</v>
      </c>
      <c r="D115" s="699" t="s">
        <v>823</v>
      </c>
    </row>
    <row r="116" spans="1:5" ht="27.75" hidden="1" customHeight="1">
      <c r="A116" s="696">
        <v>46104</v>
      </c>
      <c r="D116" s="66" t="s">
        <v>821</v>
      </c>
      <c r="E116" s="679" t="s">
        <v>795</v>
      </c>
    </row>
    <row r="117" spans="1:5" ht="27.75" hidden="1" customHeight="1">
      <c r="A117" s="696">
        <v>46105</v>
      </c>
      <c r="D117" s="701" t="s">
        <v>814</v>
      </c>
      <c r="E117" s="66" t="s">
        <v>810</v>
      </c>
    </row>
    <row r="118" spans="1:5" ht="27.75" hidden="1" customHeight="1">
      <c r="A118" s="696">
        <v>46106</v>
      </c>
      <c r="D118" s="702" t="s">
        <v>815</v>
      </c>
      <c r="E118" s="78" t="s">
        <v>811</v>
      </c>
    </row>
    <row r="119" spans="1:5" ht="27.75" hidden="1" customHeight="1">
      <c r="A119" s="696">
        <v>46107</v>
      </c>
      <c r="D119" s="702" t="s">
        <v>815</v>
      </c>
      <c r="E119" s="351" t="s">
        <v>823</v>
      </c>
    </row>
    <row r="120" spans="1:5" ht="27.75" hidden="1" customHeight="1">
      <c r="A120" s="696">
        <v>46108</v>
      </c>
      <c r="D120" s="702" t="s">
        <v>815</v>
      </c>
      <c r="E120" s="700" t="s">
        <v>812</v>
      </c>
    </row>
    <row r="121" spans="1:5" s="695" customFormat="1" ht="27.75" hidden="1" customHeight="1">
      <c r="A121" s="694">
        <v>46109</v>
      </c>
      <c r="D121" s="702" t="s">
        <v>815</v>
      </c>
      <c r="E121" s="705" t="s">
        <v>823</v>
      </c>
    </row>
    <row r="122" spans="1:5" s="695" customFormat="1" ht="27.75" hidden="1" customHeight="1">
      <c r="A122" s="694">
        <v>46110</v>
      </c>
      <c r="D122" s="702" t="s">
        <v>815</v>
      </c>
      <c r="E122" s="705" t="s">
        <v>823</v>
      </c>
    </row>
    <row r="123" spans="1:5" ht="27.75" hidden="1" customHeight="1">
      <c r="A123" s="696">
        <v>46111</v>
      </c>
      <c r="D123" s="351" t="s">
        <v>816</v>
      </c>
      <c r="E123" s="351" t="s">
        <v>823</v>
      </c>
    </row>
    <row r="124" spans="1:5" ht="27.75" hidden="1" customHeight="1">
      <c r="A124" s="696">
        <v>46112</v>
      </c>
      <c r="D124" s="351" t="s">
        <v>817</v>
      </c>
      <c r="E124" s="351" t="s">
        <v>821</v>
      </c>
    </row>
    <row r="125" spans="1:5" ht="27.75" customHeight="1">
      <c r="A125" s="696">
        <v>46113</v>
      </c>
      <c r="D125" s="351" t="s">
        <v>817</v>
      </c>
      <c r="E125" s="701" t="s">
        <v>814</v>
      </c>
    </row>
    <row r="126" spans="1:5" ht="27.75" customHeight="1">
      <c r="A126" s="696">
        <v>46114</v>
      </c>
      <c r="D126" s="351" t="s">
        <v>817</v>
      </c>
      <c r="E126" s="702" t="s">
        <v>815</v>
      </c>
    </row>
    <row r="127" spans="1:5" ht="27.75" customHeight="1">
      <c r="A127" s="696">
        <v>46115</v>
      </c>
      <c r="D127" s="351" t="s">
        <v>817</v>
      </c>
      <c r="E127" s="702" t="s">
        <v>815</v>
      </c>
    </row>
    <row r="128" spans="1:5" s="695" customFormat="1" ht="27.75" customHeight="1">
      <c r="A128" s="694">
        <v>46116</v>
      </c>
      <c r="D128" s="705" t="s">
        <v>817</v>
      </c>
      <c r="E128" s="702" t="s">
        <v>815</v>
      </c>
    </row>
    <row r="129" spans="1:6" s="695" customFormat="1" ht="27.75" customHeight="1">
      <c r="A129" s="694">
        <v>46117</v>
      </c>
      <c r="D129" s="705" t="s">
        <v>817</v>
      </c>
      <c r="E129" s="702" t="s">
        <v>815</v>
      </c>
    </row>
    <row r="130" spans="1:6" ht="27.75" customHeight="1">
      <c r="A130" s="696">
        <v>46118</v>
      </c>
      <c r="D130" s="351" t="s">
        <v>817</v>
      </c>
      <c r="E130" s="702" t="s">
        <v>815</v>
      </c>
    </row>
    <row r="131" spans="1:6" ht="27.75" customHeight="1">
      <c r="A131" s="696">
        <v>46119</v>
      </c>
      <c r="D131" s="351" t="s">
        <v>817</v>
      </c>
      <c r="E131" s="351" t="s">
        <v>816</v>
      </c>
    </row>
    <row r="132" spans="1:6" ht="27.75" customHeight="1">
      <c r="A132" s="696">
        <v>46120</v>
      </c>
      <c r="D132" s="707" t="s">
        <v>818</v>
      </c>
      <c r="E132" s="351" t="s">
        <v>817</v>
      </c>
    </row>
    <row r="133" spans="1:6" ht="27.75" customHeight="1">
      <c r="A133" s="696">
        <v>46121</v>
      </c>
      <c r="D133" s="391" t="s">
        <v>819</v>
      </c>
      <c r="E133" s="351" t="s">
        <v>824</v>
      </c>
    </row>
    <row r="134" spans="1:6" ht="27.75" customHeight="1">
      <c r="A134" s="696">
        <v>46122</v>
      </c>
      <c r="D134" s="391" t="s">
        <v>819</v>
      </c>
      <c r="E134" s="713" t="s">
        <v>824</v>
      </c>
    </row>
    <row r="135" spans="1:6" s="695" customFormat="1" ht="27.75" customHeight="1">
      <c r="A135" s="694">
        <v>46123</v>
      </c>
      <c r="D135" s="705" t="s">
        <v>824</v>
      </c>
      <c r="E135" s="714" t="s">
        <v>824</v>
      </c>
    </row>
    <row r="136" spans="1:6" s="695" customFormat="1" ht="27.75" customHeight="1">
      <c r="A136" s="694">
        <v>46124</v>
      </c>
      <c r="D136" s="705" t="s">
        <v>824</v>
      </c>
      <c r="E136" s="705" t="s">
        <v>824</v>
      </c>
    </row>
    <row r="137" spans="1:6" ht="27.75" customHeight="1">
      <c r="A137" s="696">
        <v>46125</v>
      </c>
      <c r="D137" s="351" t="s">
        <v>824</v>
      </c>
      <c r="E137" s="707" t="s">
        <v>818</v>
      </c>
    </row>
    <row r="138" spans="1:6" ht="27.75" customHeight="1">
      <c r="A138" s="696">
        <v>46126</v>
      </c>
      <c r="D138" s="713" t="s">
        <v>824</v>
      </c>
      <c r="E138" s="391" t="s">
        <v>819</v>
      </c>
    </row>
    <row r="139" spans="1:6" ht="27.75" customHeight="1">
      <c r="A139" s="696">
        <v>46127</v>
      </c>
      <c r="D139" s="713" t="s">
        <v>824</v>
      </c>
      <c r="E139" s="391" t="s">
        <v>819</v>
      </c>
    </row>
    <row r="140" spans="1:6" ht="27.75" customHeight="1">
      <c r="A140" s="696">
        <v>46128</v>
      </c>
      <c r="E140" s="713" t="s">
        <v>824</v>
      </c>
    </row>
    <row r="141" spans="1:6" ht="27.75" customHeight="1">
      <c r="A141" s="696">
        <v>46129</v>
      </c>
      <c r="E141" s="713" t="s">
        <v>824</v>
      </c>
      <c r="F141" s="715" t="s">
        <v>825</v>
      </c>
    </row>
    <row r="142" spans="1:6" s="695" customFormat="1" ht="27.75" customHeight="1">
      <c r="A142" s="694">
        <v>46130</v>
      </c>
      <c r="E142" s="705" t="s">
        <v>824</v>
      </c>
      <c r="F142" s="351" t="s">
        <v>826</v>
      </c>
    </row>
    <row r="143" spans="1:6" s="695" customFormat="1" ht="27.75" customHeight="1">
      <c r="A143" s="694">
        <v>46131</v>
      </c>
      <c r="E143" s="705" t="s">
        <v>824</v>
      </c>
      <c r="F143" s="351" t="s">
        <v>827</v>
      </c>
    </row>
    <row r="144" spans="1:6" ht="27.75" customHeight="1">
      <c r="A144" s="696">
        <v>46132</v>
      </c>
      <c r="F144" s="351" t="s">
        <v>827</v>
      </c>
    </row>
    <row r="145" spans="1:6" ht="27.75" customHeight="1">
      <c r="A145" s="696">
        <v>46133</v>
      </c>
      <c r="F145" s="700" t="s">
        <v>828</v>
      </c>
    </row>
    <row r="146" spans="1:6" ht="27.75" customHeight="1">
      <c r="A146" s="696">
        <v>46134</v>
      </c>
      <c r="F146" s="351" t="s">
        <v>829</v>
      </c>
    </row>
    <row r="147" spans="1:6" ht="27.75" customHeight="1">
      <c r="A147" s="696">
        <v>46135</v>
      </c>
      <c r="F147" s="351" t="s">
        <v>829</v>
      </c>
    </row>
    <row r="148" spans="1:6" ht="27.75" customHeight="1">
      <c r="A148" s="696">
        <v>46136</v>
      </c>
      <c r="F148" s="351" t="s">
        <v>829</v>
      </c>
    </row>
    <row r="149" spans="1:6" s="695" customFormat="1" ht="27.75" customHeight="1">
      <c r="A149" s="694">
        <v>46137</v>
      </c>
      <c r="F149" s="66" t="s">
        <v>821</v>
      </c>
    </row>
    <row r="150" spans="1:6" s="695" customFormat="1" ht="27.75" customHeight="1">
      <c r="A150" s="694">
        <v>46138</v>
      </c>
      <c r="F150" s="701" t="s">
        <v>814</v>
      </c>
    </row>
    <row r="151" spans="1:6" ht="27.75" customHeight="1">
      <c r="A151" s="696">
        <v>46139</v>
      </c>
      <c r="F151" s="702" t="s">
        <v>815</v>
      </c>
    </row>
    <row r="152" spans="1:6" ht="27.75" customHeight="1">
      <c r="A152" s="696">
        <v>46140</v>
      </c>
      <c r="F152" s="702" t="s">
        <v>815</v>
      </c>
    </row>
    <row r="153" spans="1:6" ht="27.75" customHeight="1">
      <c r="A153" s="696">
        <v>46141</v>
      </c>
      <c r="F153" s="702" t="s">
        <v>815</v>
      </c>
    </row>
    <row r="154" spans="1:6" ht="27.75" customHeight="1">
      <c r="A154" s="696">
        <v>46142</v>
      </c>
      <c r="F154" s="702" t="s">
        <v>815</v>
      </c>
    </row>
    <row r="155" spans="1:6" ht="27.75" customHeight="1">
      <c r="A155" s="698">
        <v>46143</v>
      </c>
      <c r="F155" s="702" t="s">
        <v>815</v>
      </c>
    </row>
    <row r="156" spans="1:6" ht="27.75" customHeight="1">
      <c r="A156" s="698">
        <v>46144</v>
      </c>
      <c r="F156" s="351" t="s">
        <v>816</v>
      </c>
    </row>
    <row r="157" spans="1:6" ht="27.75" customHeight="1">
      <c r="A157" s="698">
        <v>46145</v>
      </c>
      <c r="F157" s="351" t="s">
        <v>817</v>
      </c>
    </row>
    <row r="158" spans="1:6" ht="27.75" customHeight="1">
      <c r="A158" s="698">
        <v>46146</v>
      </c>
      <c r="F158" s="707" t="s">
        <v>818</v>
      </c>
    </row>
    <row r="159" spans="1:6" ht="27.75" customHeight="1">
      <c r="A159" s="698">
        <v>46147</v>
      </c>
      <c r="F159" s="391" t="s">
        <v>819</v>
      </c>
    </row>
    <row r="160" spans="1:6" ht="27.75" customHeight="1">
      <c r="A160" s="698">
        <v>46148</v>
      </c>
      <c r="F160" s="391" t="s">
        <v>819</v>
      </c>
    </row>
    <row r="161" spans="1:8" s="712" customFormat="1" ht="27.75" customHeight="1">
      <c r="A161" s="711">
        <v>46149</v>
      </c>
      <c r="F161" s="292" t="s">
        <v>824</v>
      </c>
    </row>
    <row r="162" spans="1:8" s="712" customFormat="1" ht="27.75" customHeight="1">
      <c r="A162" s="711">
        <v>46150</v>
      </c>
      <c r="F162" s="292" t="s">
        <v>824</v>
      </c>
    </row>
    <row r="163" spans="1:8" s="712" customFormat="1" ht="27.75" customHeight="1">
      <c r="A163" s="711">
        <v>46151</v>
      </c>
      <c r="F163" s="292" t="s">
        <v>824</v>
      </c>
    </row>
    <row r="164" spans="1:8" s="712" customFormat="1" ht="27.75" customHeight="1">
      <c r="A164" s="711">
        <v>46152</v>
      </c>
      <c r="F164" s="292" t="s">
        <v>824</v>
      </c>
    </row>
    <row r="165" spans="1:8" s="712" customFormat="1" ht="27.75" customHeight="1">
      <c r="A165" s="711">
        <v>46153</v>
      </c>
    </row>
    <row r="166" spans="1:8" s="712" customFormat="1" ht="27.75" customHeight="1">
      <c r="A166" s="711">
        <v>46154</v>
      </c>
    </row>
    <row r="167" spans="1:8" s="712" customFormat="1" ht="27.75" customHeight="1">
      <c r="A167" s="711">
        <v>46155</v>
      </c>
    </row>
    <row r="168" spans="1:8" s="712" customFormat="1" ht="27.75" customHeight="1">
      <c r="A168" s="711">
        <v>46156</v>
      </c>
    </row>
    <row r="169" spans="1:8" s="712" customFormat="1" ht="27.75" customHeight="1">
      <c r="A169" s="711">
        <v>46157</v>
      </c>
    </row>
    <row r="170" spans="1:8" s="695" customFormat="1" ht="27.75" customHeight="1">
      <c r="A170" s="694">
        <v>46158</v>
      </c>
    </row>
    <row r="171" spans="1:8" s="695" customFormat="1" ht="27.75" customHeight="1">
      <c r="A171" s="694">
        <v>46159</v>
      </c>
    </row>
    <row r="172" spans="1:8" s="712" customFormat="1" ht="27.75" customHeight="1">
      <c r="A172" s="711">
        <v>46160</v>
      </c>
    </row>
    <row r="173" spans="1:8" s="712" customFormat="1" ht="27.75" customHeight="1">
      <c r="A173" s="711">
        <v>46161</v>
      </c>
    </row>
    <row r="174" spans="1:8" s="712" customFormat="1" ht="27.75" customHeight="1">
      <c r="A174" s="711">
        <v>46162</v>
      </c>
    </row>
    <row r="175" spans="1:8" s="712" customFormat="1" ht="27.75" customHeight="1">
      <c r="A175" s="711">
        <v>46163</v>
      </c>
    </row>
    <row r="176" spans="1:8" ht="27.75" customHeight="1">
      <c r="A176" s="696">
        <v>46164</v>
      </c>
      <c r="G176" s="681" t="s">
        <v>797</v>
      </c>
      <c r="H176" s="682" t="s">
        <v>830</v>
      </c>
    </row>
    <row r="177" spans="1:8" s="695" customFormat="1" ht="27.75" customHeight="1">
      <c r="A177" s="694">
        <v>46165</v>
      </c>
      <c r="G177" s="705" t="s">
        <v>831</v>
      </c>
      <c r="H177" s="705" t="s">
        <v>832</v>
      </c>
    </row>
    <row r="178" spans="1:8" s="695" customFormat="1" ht="27.75" customHeight="1">
      <c r="A178" s="694">
        <v>46166</v>
      </c>
      <c r="G178" s="705" t="s">
        <v>831</v>
      </c>
      <c r="H178" s="705" t="s">
        <v>831</v>
      </c>
    </row>
    <row r="179" spans="1:8" ht="27.75" customHeight="1">
      <c r="A179" s="696">
        <v>46167</v>
      </c>
      <c r="G179" s="351" t="s">
        <v>826</v>
      </c>
      <c r="H179" s="351" t="s">
        <v>831</v>
      </c>
    </row>
    <row r="180" spans="1:8" ht="27.75" customHeight="1">
      <c r="A180" s="696">
        <v>46168</v>
      </c>
      <c r="G180" s="351" t="s">
        <v>829</v>
      </c>
      <c r="H180" s="351" t="s">
        <v>831</v>
      </c>
    </row>
    <row r="181" spans="1:8" ht="27.75" customHeight="1">
      <c r="A181" s="696">
        <v>46169</v>
      </c>
      <c r="G181" s="700" t="s">
        <v>828</v>
      </c>
      <c r="H181" s="351" t="s">
        <v>831</v>
      </c>
    </row>
    <row r="182" spans="1:8" ht="27.75" customHeight="1">
      <c r="A182" s="696">
        <v>46170</v>
      </c>
      <c r="G182" s="351" t="s">
        <v>829</v>
      </c>
      <c r="H182" s="351" t="s">
        <v>826</v>
      </c>
    </row>
    <row r="183" spans="1:8" ht="27.75" customHeight="1">
      <c r="A183" s="696">
        <v>46171</v>
      </c>
      <c r="G183" s="66" t="s">
        <v>821</v>
      </c>
      <c r="H183" s="351" t="s">
        <v>827</v>
      </c>
    </row>
    <row r="184" spans="1:8" s="695" customFormat="1" ht="27.75" customHeight="1">
      <c r="A184" s="694">
        <v>46172</v>
      </c>
      <c r="G184" s="701" t="s">
        <v>814</v>
      </c>
      <c r="H184" s="700" t="s">
        <v>833</v>
      </c>
    </row>
    <row r="185" spans="1:8" s="695" customFormat="1" ht="27.75" customHeight="1">
      <c r="A185" s="694">
        <v>46173</v>
      </c>
      <c r="G185" s="702" t="s">
        <v>815</v>
      </c>
      <c r="H185" s="351" t="s">
        <v>827</v>
      </c>
    </row>
    <row r="186" spans="1:8" ht="27.75" customHeight="1">
      <c r="A186" s="696">
        <v>46174</v>
      </c>
      <c r="G186" s="702" t="s">
        <v>815</v>
      </c>
      <c r="H186" s="351" t="s">
        <v>827</v>
      </c>
    </row>
    <row r="187" spans="1:8" ht="27.75" customHeight="1">
      <c r="A187" s="696">
        <v>46175</v>
      </c>
      <c r="G187" s="702" t="s">
        <v>815</v>
      </c>
      <c r="H187" s="351" t="s">
        <v>827</v>
      </c>
    </row>
    <row r="188" spans="1:8" ht="27.75" customHeight="1">
      <c r="A188" s="696">
        <v>46176</v>
      </c>
      <c r="G188" s="702" t="s">
        <v>815</v>
      </c>
      <c r="H188" s="700" t="s">
        <v>834</v>
      </c>
    </row>
    <row r="189" spans="1:8" ht="27.75" customHeight="1">
      <c r="A189" s="696">
        <v>46177</v>
      </c>
      <c r="G189" s="702" t="s">
        <v>815</v>
      </c>
      <c r="H189" s="351" t="s">
        <v>829</v>
      </c>
    </row>
    <row r="190" spans="1:8" ht="27.75" customHeight="1">
      <c r="A190" s="696">
        <v>46178</v>
      </c>
      <c r="G190" s="351" t="s">
        <v>816</v>
      </c>
      <c r="H190" s="351" t="s">
        <v>829</v>
      </c>
    </row>
    <row r="191" spans="1:8" s="695" customFormat="1" ht="27.75" customHeight="1">
      <c r="A191" s="694">
        <v>46179</v>
      </c>
      <c r="G191" s="705" t="s">
        <v>817</v>
      </c>
      <c r="H191" s="705" t="s">
        <v>829</v>
      </c>
    </row>
    <row r="192" spans="1:8" s="695" customFormat="1" ht="27.75" customHeight="1">
      <c r="A192" s="694">
        <v>46180</v>
      </c>
      <c r="G192" s="705" t="s">
        <v>817</v>
      </c>
      <c r="H192" s="705" t="s">
        <v>829</v>
      </c>
    </row>
    <row r="193" spans="1:8" ht="27.75" customHeight="1">
      <c r="A193" s="696">
        <v>46181</v>
      </c>
      <c r="G193" s="351" t="s">
        <v>817</v>
      </c>
      <c r="H193" s="351" t="s">
        <v>829</v>
      </c>
    </row>
    <row r="194" spans="1:8" ht="27.75" customHeight="1">
      <c r="A194" s="696">
        <v>46182</v>
      </c>
      <c r="G194" s="351" t="s">
        <v>817</v>
      </c>
      <c r="H194" s="351" t="s">
        <v>829</v>
      </c>
    </row>
    <row r="195" spans="1:8" ht="27.75" customHeight="1">
      <c r="A195" s="696">
        <v>46183</v>
      </c>
      <c r="G195" s="351" t="s">
        <v>817</v>
      </c>
      <c r="H195" s="351" t="s">
        <v>829</v>
      </c>
    </row>
    <row r="196" spans="1:8" ht="27.75" customHeight="1">
      <c r="A196" s="696">
        <v>46184</v>
      </c>
      <c r="G196" s="351" t="s">
        <v>817</v>
      </c>
      <c r="H196" s="351" t="s">
        <v>829</v>
      </c>
    </row>
    <row r="197" spans="1:8" ht="27.75" customHeight="1">
      <c r="A197" s="696">
        <v>46185</v>
      </c>
      <c r="G197" s="351" t="s">
        <v>817</v>
      </c>
      <c r="H197" s="351" t="s">
        <v>829</v>
      </c>
    </row>
    <row r="198" spans="1:8" s="695" customFormat="1" ht="27.75" customHeight="1">
      <c r="A198" s="694">
        <v>46186</v>
      </c>
      <c r="G198" s="705" t="s">
        <v>817</v>
      </c>
      <c r="H198" s="705" t="s">
        <v>829</v>
      </c>
    </row>
    <row r="199" spans="1:8" s="695" customFormat="1" ht="27.75" customHeight="1">
      <c r="A199" s="694">
        <v>46187</v>
      </c>
      <c r="G199" s="705" t="s">
        <v>817</v>
      </c>
      <c r="H199" s="705" t="s">
        <v>829</v>
      </c>
    </row>
    <row r="200" spans="1:8" ht="27.75" customHeight="1">
      <c r="A200" s="696">
        <v>46188</v>
      </c>
      <c r="G200" s="707" t="s">
        <v>818</v>
      </c>
      <c r="H200" s="700" t="s">
        <v>828</v>
      </c>
    </row>
    <row r="201" spans="1:8" ht="27.75" customHeight="1">
      <c r="A201" s="696">
        <v>46189</v>
      </c>
      <c r="G201" s="391" t="s">
        <v>819</v>
      </c>
      <c r="H201" s="351" t="s">
        <v>829</v>
      </c>
    </row>
    <row r="202" spans="1:8" ht="27.75" customHeight="1">
      <c r="A202" s="696">
        <v>46190</v>
      </c>
      <c r="G202" s="391" t="s">
        <v>819</v>
      </c>
      <c r="H202" s="351" t="s">
        <v>829</v>
      </c>
    </row>
    <row r="203" spans="1:8" ht="27" customHeight="1">
      <c r="A203" s="696">
        <v>46191</v>
      </c>
      <c r="G203" s="292" t="s">
        <v>824</v>
      </c>
      <c r="H203" s="66" t="s">
        <v>821</v>
      </c>
    </row>
    <row r="204" spans="1:8" ht="27.75" customHeight="1">
      <c r="A204" s="696">
        <v>46192</v>
      </c>
      <c r="G204" s="292" t="s">
        <v>824</v>
      </c>
      <c r="H204" s="701" t="s">
        <v>814</v>
      </c>
    </row>
    <row r="205" spans="1:8" s="695" customFormat="1" ht="27.75" customHeight="1">
      <c r="A205" s="694">
        <v>46193</v>
      </c>
      <c r="G205" s="714" t="s">
        <v>824</v>
      </c>
      <c r="H205" s="702" t="s">
        <v>815</v>
      </c>
    </row>
    <row r="206" spans="1:8" s="695" customFormat="1" ht="27.75" customHeight="1">
      <c r="A206" s="694">
        <v>46194</v>
      </c>
      <c r="G206" s="714" t="s">
        <v>824</v>
      </c>
      <c r="H206" s="702" t="s">
        <v>815</v>
      </c>
    </row>
    <row r="207" spans="1:8" ht="27.75" customHeight="1">
      <c r="A207" s="696">
        <v>46195</v>
      </c>
      <c r="G207" s="292" t="s">
        <v>824</v>
      </c>
      <c r="H207" s="702" t="s">
        <v>815</v>
      </c>
    </row>
    <row r="208" spans="1:8" ht="27.75" customHeight="1">
      <c r="A208" s="696">
        <v>46196</v>
      </c>
      <c r="H208" s="702" t="s">
        <v>815</v>
      </c>
    </row>
    <row r="209" spans="1:10" ht="27.75" customHeight="1">
      <c r="A209" s="696">
        <v>46197</v>
      </c>
      <c r="H209" s="702" t="s">
        <v>815</v>
      </c>
    </row>
    <row r="210" spans="1:10" ht="27.5" customHeight="1">
      <c r="A210" s="696">
        <v>46198</v>
      </c>
      <c r="H210" s="351" t="s">
        <v>816</v>
      </c>
      <c r="I210" s="683" t="s">
        <v>835</v>
      </c>
    </row>
    <row r="211" spans="1:10" ht="27.75" customHeight="1">
      <c r="A211" s="696">
        <v>46199</v>
      </c>
      <c r="H211" s="351" t="s">
        <v>817</v>
      </c>
      <c r="I211" s="351" t="s">
        <v>826</v>
      </c>
    </row>
    <row r="212" spans="1:10" s="695" customFormat="1" ht="27.75" customHeight="1">
      <c r="A212" s="694">
        <v>46200</v>
      </c>
      <c r="H212" s="705" t="s">
        <v>817</v>
      </c>
      <c r="I212" s="351" t="s">
        <v>827</v>
      </c>
    </row>
    <row r="213" spans="1:10" s="695" customFormat="1" ht="27.75" customHeight="1">
      <c r="A213" s="694">
        <v>46201</v>
      </c>
      <c r="H213" s="705" t="s">
        <v>817</v>
      </c>
      <c r="I213" s="351" t="s">
        <v>827</v>
      </c>
    </row>
    <row r="214" spans="1:10" ht="27.75" customHeight="1">
      <c r="A214" s="696">
        <v>46202</v>
      </c>
      <c r="H214" s="707" t="s">
        <v>818</v>
      </c>
      <c r="I214" s="700" t="s">
        <v>836</v>
      </c>
    </row>
    <row r="215" spans="1:10" ht="27.75" customHeight="1">
      <c r="A215" s="696">
        <v>46203</v>
      </c>
      <c r="H215" s="391" t="s">
        <v>819</v>
      </c>
      <c r="I215" s="700" t="s">
        <v>837</v>
      </c>
    </row>
    <row r="216" spans="1:10" ht="27.75" customHeight="1">
      <c r="A216" s="696">
        <v>46204</v>
      </c>
      <c r="H216" s="391" t="s">
        <v>819</v>
      </c>
      <c r="I216" s="351" t="s">
        <v>829</v>
      </c>
    </row>
    <row r="217" spans="1:10" ht="27.75" customHeight="1">
      <c r="A217" s="696">
        <v>46205</v>
      </c>
      <c r="H217" s="292" t="s">
        <v>824</v>
      </c>
      <c r="I217" s="351" t="s">
        <v>829</v>
      </c>
    </row>
    <row r="218" spans="1:10" ht="27.75" customHeight="1">
      <c r="A218" s="696">
        <v>46206</v>
      </c>
      <c r="H218" s="292" t="s">
        <v>824</v>
      </c>
      <c r="I218" s="66" t="s">
        <v>821</v>
      </c>
    </row>
    <row r="219" spans="1:10" s="695" customFormat="1" ht="27.75" customHeight="1">
      <c r="A219" s="694">
        <v>46207</v>
      </c>
      <c r="H219" s="714" t="s">
        <v>824</v>
      </c>
      <c r="I219" s="701" t="s">
        <v>814</v>
      </c>
    </row>
    <row r="220" spans="1:10" s="695" customFormat="1" ht="27.75" customHeight="1">
      <c r="A220" s="694">
        <v>46208</v>
      </c>
      <c r="H220" s="714" t="s">
        <v>824</v>
      </c>
      <c r="I220" s="702" t="s">
        <v>815</v>
      </c>
      <c r="J220" s="684" t="s">
        <v>800</v>
      </c>
    </row>
    <row r="221" spans="1:10" ht="27.75" customHeight="1">
      <c r="A221" s="696">
        <v>46209</v>
      </c>
      <c r="H221" s="292" t="s">
        <v>824</v>
      </c>
      <c r="I221" s="702" t="s">
        <v>815</v>
      </c>
      <c r="J221" s="351" t="s">
        <v>838</v>
      </c>
    </row>
    <row r="222" spans="1:10" ht="27.75" customHeight="1">
      <c r="A222" s="696">
        <v>46210</v>
      </c>
      <c r="I222" s="702" t="s">
        <v>815</v>
      </c>
      <c r="J222" s="351" t="s">
        <v>839</v>
      </c>
    </row>
    <row r="223" spans="1:10" ht="27.75" customHeight="1">
      <c r="A223" s="696">
        <v>46211</v>
      </c>
      <c r="I223" s="702" t="s">
        <v>815</v>
      </c>
      <c r="J223" s="351" t="s">
        <v>826</v>
      </c>
    </row>
    <row r="224" spans="1:10" ht="27.75" customHeight="1">
      <c r="A224" s="696">
        <v>46212</v>
      </c>
      <c r="I224" s="702" t="s">
        <v>815</v>
      </c>
      <c r="J224" s="351" t="s">
        <v>827</v>
      </c>
    </row>
    <row r="225" spans="1:11" ht="27.75" customHeight="1">
      <c r="A225" s="696">
        <v>46213</v>
      </c>
      <c r="I225" s="351" t="s">
        <v>816</v>
      </c>
      <c r="J225" s="351" t="s">
        <v>827</v>
      </c>
    </row>
    <row r="226" spans="1:11" s="695" customFormat="1" ht="27.75" customHeight="1">
      <c r="A226" s="694">
        <v>46214</v>
      </c>
      <c r="I226" s="705" t="s">
        <v>817</v>
      </c>
      <c r="J226" s="700" t="s">
        <v>828</v>
      </c>
    </row>
    <row r="227" spans="1:11" s="695" customFormat="1" ht="27.75" customHeight="1">
      <c r="A227" s="694">
        <v>46215</v>
      </c>
      <c r="I227" s="705" t="s">
        <v>817</v>
      </c>
      <c r="J227" s="700" t="s">
        <v>828</v>
      </c>
    </row>
    <row r="228" spans="1:11" ht="27.75" customHeight="1">
      <c r="A228" s="696">
        <v>46216</v>
      </c>
      <c r="I228" s="351" t="s">
        <v>817</v>
      </c>
      <c r="J228" s="351" t="s">
        <v>829</v>
      </c>
    </row>
    <row r="229" spans="1:11" ht="27.75" customHeight="1">
      <c r="A229" s="696">
        <v>46217</v>
      </c>
      <c r="I229" s="707" t="s">
        <v>818</v>
      </c>
      <c r="J229" s="351" t="s">
        <v>829</v>
      </c>
    </row>
    <row r="230" spans="1:11" ht="27.75" customHeight="1">
      <c r="A230" s="696">
        <v>46218</v>
      </c>
      <c r="I230" s="391" t="s">
        <v>819</v>
      </c>
      <c r="J230" s="700" t="s">
        <v>840</v>
      </c>
    </row>
    <row r="231" spans="1:11" ht="27.75" customHeight="1">
      <c r="A231" s="696">
        <v>46219</v>
      </c>
      <c r="I231" s="391" t="s">
        <v>819</v>
      </c>
      <c r="J231" s="700" t="s">
        <v>841</v>
      </c>
    </row>
    <row r="232" spans="1:11" ht="27.75" customHeight="1">
      <c r="A232" s="696">
        <v>46220</v>
      </c>
      <c r="I232" s="292" t="s">
        <v>824</v>
      </c>
      <c r="J232" s="700" t="s">
        <v>842</v>
      </c>
    </row>
    <row r="233" spans="1:11" s="695" customFormat="1" ht="27.75" customHeight="1">
      <c r="A233" s="694">
        <v>46221</v>
      </c>
      <c r="I233" s="714" t="s">
        <v>824</v>
      </c>
      <c r="J233" s="700" t="s">
        <v>843</v>
      </c>
    </row>
    <row r="234" spans="1:11" s="695" customFormat="1" ht="27.75" customHeight="1">
      <c r="A234" s="694">
        <v>46222</v>
      </c>
      <c r="I234" s="714" t="s">
        <v>824</v>
      </c>
      <c r="J234" s="700" t="s">
        <v>844</v>
      </c>
    </row>
    <row r="235" spans="1:11" ht="27.75" customHeight="1">
      <c r="A235" s="696">
        <v>46223</v>
      </c>
      <c r="J235" s="700" t="s">
        <v>845</v>
      </c>
    </row>
    <row r="236" spans="1:11" ht="27.75" customHeight="1">
      <c r="A236" s="696">
        <v>46224</v>
      </c>
      <c r="J236" s="700" t="s">
        <v>846</v>
      </c>
    </row>
    <row r="237" spans="1:11" ht="27.75" customHeight="1">
      <c r="A237" s="696">
        <v>46225</v>
      </c>
      <c r="J237" s="700" t="s">
        <v>847</v>
      </c>
    </row>
    <row r="238" spans="1:11" ht="27.75" customHeight="1">
      <c r="A238" s="696">
        <v>46226</v>
      </c>
      <c r="J238" s="700" t="s">
        <v>848</v>
      </c>
    </row>
    <row r="239" spans="1:11" ht="27.75" customHeight="1">
      <c r="A239" s="696">
        <v>46227</v>
      </c>
      <c r="J239" s="700" t="s">
        <v>849</v>
      </c>
      <c r="K239" s="685" t="s">
        <v>850</v>
      </c>
    </row>
    <row r="240" spans="1:11" s="695" customFormat="1" ht="27.75" customHeight="1">
      <c r="A240" s="694">
        <v>46228</v>
      </c>
      <c r="J240" s="705" t="s">
        <v>829</v>
      </c>
      <c r="K240" s="705" t="s">
        <v>829</v>
      </c>
    </row>
    <row r="241" spans="1:12" s="695" customFormat="1" ht="27.75" customHeight="1">
      <c r="A241" s="694">
        <v>46229</v>
      </c>
      <c r="J241" s="705" t="s">
        <v>829</v>
      </c>
      <c r="K241" s="705" t="s">
        <v>829</v>
      </c>
    </row>
    <row r="242" spans="1:12" ht="27.75" customHeight="1">
      <c r="A242" s="696">
        <v>46230</v>
      </c>
      <c r="J242" s="716" t="s">
        <v>851</v>
      </c>
      <c r="K242" s="351" t="s">
        <v>826</v>
      </c>
    </row>
    <row r="243" spans="1:12" ht="27.75" customHeight="1">
      <c r="A243" s="696">
        <v>46231</v>
      </c>
      <c r="J243" s="716" t="s">
        <v>851</v>
      </c>
      <c r="K243" s="351" t="s">
        <v>827</v>
      </c>
    </row>
    <row r="244" spans="1:12" ht="27.75" customHeight="1">
      <c r="A244" s="696">
        <v>46232</v>
      </c>
      <c r="J244" s="716" t="s">
        <v>851</v>
      </c>
      <c r="K244" s="700" t="s">
        <v>828</v>
      </c>
    </row>
    <row r="245" spans="1:12" ht="27.75" customHeight="1">
      <c r="A245" s="696">
        <v>46233</v>
      </c>
      <c r="J245" s="716" t="s">
        <v>851</v>
      </c>
      <c r="K245" s="351" t="s">
        <v>829</v>
      </c>
    </row>
    <row r="246" spans="1:12" ht="27.75" customHeight="1">
      <c r="A246" s="696">
        <v>46234</v>
      </c>
      <c r="J246" s="716" t="s">
        <v>852</v>
      </c>
      <c r="K246" s="351" t="s">
        <v>829</v>
      </c>
    </row>
    <row r="247" spans="1:12" s="695" customFormat="1" ht="27.75" customHeight="1">
      <c r="A247" s="694">
        <v>46235</v>
      </c>
      <c r="K247" s="66" t="s">
        <v>821</v>
      </c>
    </row>
    <row r="248" spans="1:12" s="695" customFormat="1" ht="27.75" customHeight="1">
      <c r="A248" s="694">
        <v>46236</v>
      </c>
      <c r="K248" s="701" t="s">
        <v>814</v>
      </c>
    </row>
    <row r="249" spans="1:12" ht="27.75" customHeight="1">
      <c r="A249" s="696">
        <v>46237</v>
      </c>
      <c r="K249" s="702" t="s">
        <v>815</v>
      </c>
    </row>
    <row r="250" spans="1:12" ht="27.75" customHeight="1">
      <c r="A250" s="696">
        <v>46238</v>
      </c>
      <c r="K250" s="702" t="s">
        <v>815</v>
      </c>
    </row>
    <row r="251" spans="1:12" ht="27.75" customHeight="1">
      <c r="A251" s="696">
        <v>46239</v>
      </c>
      <c r="K251" s="702" t="s">
        <v>815</v>
      </c>
    </row>
    <row r="252" spans="1:12" ht="27.75" customHeight="1">
      <c r="A252" s="696">
        <v>46240</v>
      </c>
      <c r="K252" s="702" t="s">
        <v>815</v>
      </c>
    </row>
    <row r="253" spans="1:12" ht="27.75" customHeight="1">
      <c r="A253" s="696">
        <v>46241</v>
      </c>
      <c r="K253" s="702" t="s">
        <v>815</v>
      </c>
      <c r="L253" s="717" t="s">
        <v>853</v>
      </c>
    </row>
    <row r="254" spans="1:12" s="695" customFormat="1" ht="27.75" customHeight="1">
      <c r="A254" s="694">
        <v>46242</v>
      </c>
      <c r="K254" s="351" t="s">
        <v>816</v>
      </c>
      <c r="L254" s="705" t="s">
        <v>854</v>
      </c>
    </row>
    <row r="255" spans="1:12" s="695" customFormat="1" ht="27.75" customHeight="1">
      <c r="A255" s="694">
        <v>46243</v>
      </c>
      <c r="K255" s="705" t="s">
        <v>817</v>
      </c>
      <c r="L255" s="705" t="s">
        <v>839</v>
      </c>
    </row>
    <row r="256" spans="1:12" ht="27.75" customHeight="1">
      <c r="A256" s="696">
        <v>46244</v>
      </c>
      <c r="K256" s="351" t="s">
        <v>817</v>
      </c>
      <c r="L256" s="351" t="s">
        <v>826</v>
      </c>
    </row>
    <row r="257" spans="1:13" ht="27.75" customHeight="1">
      <c r="A257" s="696">
        <v>46245</v>
      </c>
      <c r="K257" s="351" t="s">
        <v>817</v>
      </c>
      <c r="L257" s="351" t="s">
        <v>827</v>
      </c>
    </row>
    <row r="258" spans="1:13" ht="27.75" customHeight="1">
      <c r="A258" s="696">
        <v>46246</v>
      </c>
      <c r="K258" s="707" t="s">
        <v>818</v>
      </c>
      <c r="L258" s="351" t="s">
        <v>827</v>
      </c>
    </row>
    <row r="259" spans="1:13" ht="27.75" customHeight="1">
      <c r="A259" s="696">
        <v>46247</v>
      </c>
      <c r="K259" s="391" t="s">
        <v>819</v>
      </c>
      <c r="L259" s="700" t="s">
        <v>828</v>
      </c>
    </row>
    <row r="260" spans="1:13" ht="27.75" customHeight="1">
      <c r="A260" s="696">
        <v>46248</v>
      </c>
      <c r="K260" s="391" t="s">
        <v>819</v>
      </c>
      <c r="L260" s="351" t="s">
        <v>829</v>
      </c>
    </row>
    <row r="261" spans="1:13" s="695" customFormat="1" ht="27.75" customHeight="1">
      <c r="A261" s="694">
        <v>46249</v>
      </c>
      <c r="K261" s="292" t="s">
        <v>824</v>
      </c>
      <c r="L261" s="66" t="s">
        <v>821</v>
      </c>
    </row>
    <row r="262" spans="1:13" s="695" customFormat="1" ht="27.75" customHeight="1">
      <c r="A262" s="694">
        <v>46250</v>
      </c>
      <c r="K262" s="292" t="s">
        <v>824</v>
      </c>
      <c r="L262" s="701" t="s">
        <v>814</v>
      </c>
    </row>
    <row r="263" spans="1:13" ht="27.75" customHeight="1">
      <c r="A263" s="696">
        <v>46251</v>
      </c>
      <c r="K263" s="292" t="s">
        <v>824</v>
      </c>
      <c r="L263" s="702" t="s">
        <v>815</v>
      </c>
    </row>
    <row r="264" spans="1:13" ht="27.75" customHeight="1">
      <c r="A264" s="696">
        <v>46252</v>
      </c>
      <c r="K264" s="292" t="s">
        <v>824</v>
      </c>
      <c r="L264" s="702" t="s">
        <v>815</v>
      </c>
    </row>
    <row r="265" spans="1:13" ht="27.75" customHeight="1">
      <c r="A265" s="696">
        <v>46253</v>
      </c>
      <c r="L265" s="702" t="s">
        <v>815</v>
      </c>
    </row>
    <row r="266" spans="1:13" ht="27.75" customHeight="1">
      <c r="A266" s="696">
        <v>46254</v>
      </c>
      <c r="L266" s="702" t="s">
        <v>815</v>
      </c>
    </row>
    <row r="267" spans="1:13" ht="27.75" customHeight="1">
      <c r="A267" s="696">
        <v>46255</v>
      </c>
      <c r="L267" s="702" t="s">
        <v>815</v>
      </c>
    </row>
    <row r="268" spans="1:13" s="695" customFormat="1" ht="27.75" customHeight="1">
      <c r="A268" s="694">
        <v>46256</v>
      </c>
      <c r="L268" s="705" t="s">
        <v>816</v>
      </c>
    </row>
    <row r="269" spans="1:13" s="695" customFormat="1" ht="27.75" customHeight="1">
      <c r="A269" s="694">
        <v>46257</v>
      </c>
      <c r="L269" s="705" t="s">
        <v>817</v>
      </c>
    </row>
    <row r="270" spans="1:13" ht="27.75" customHeight="1">
      <c r="A270" s="696">
        <v>46258</v>
      </c>
      <c r="L270" s="351" t="s">
        <v>817</v>
      </c>
      <c r="M270" s="718" t="s">
        <v>855</v>
      </c>
    </row>
    <row r="271" spans="1:13" ht="27.75" customHeight="1">
      <c r="A271" s="696">
        <v>46259</v>
      </c>
      <c r="L271" s="351" t="s">
        <v>817</v>
      </c>
      <c r="M271" s="351" t="s">
        <v>826</v>
      </c>
    </row>
    <row r="272" spans="1:13" ht="27.75" customHeight="1">
      <c r="A272" s="696">
        <v>46260</v>
      </c>
      <c r="L272" s="707" t="s">
        <v>818</v>
      </c>
      <c r="M272" s="351" t="s">
        <v>827</v>
      </c>
    </row>
    <row r="273" spans="1:15" ht="27.75" customHeight="1">
      <c r="A273" s="696">
        <v>46261</v>
      </c>
      <c r="L273" s="391" t="s">
        <v>819</v>
      </c>
      <c r="M273" s="351" t="s">
        <v>827</v>
      </c>
    </row>
    <row r="274" spans="1:15" ht="27.75" customHeight="1">
      <c r="A274" s="696">
        <v>46262</v>
      </c>
      <c r="L274" s="391" t="s">
        <v>819</v>
      </c>
      <c r="M274" s="700" t="s">
        <v>828</v>
      </c>
    </row>
    <row r="275" spans="1:15" s="695" customFormat="1" ht="27.75" customHeight="1">
      <c r="A275" s="694">
        <v>46263</v>
      </c>
      <c r="L275" s="714" t="s">
        <v>824</v>
      </c>
      <c r="M275" s="705" t="s">
        <v>829</v>
      </c>
      <c r="O275" s="695" t="s">
        <v>856</v>
      </c>
    </row>
    <row r="276" spans="1:15" s="695" customFormat="1" ht="27.75" customHeight="1">
      <c r="A276" s="694">
        <v>46264</v>
      </c>
      <c r="L276" s="714" t="s">
        <v>824</v>
      </c>
      <c r="M276" s="705" t="s">
        <v>829</v>
      </c>
    </row>
    <row r="277" spans="1:15" ht="27.75" customHeight="1">
      <c r="A277" s="696">
        <v>46265</v>
      </c>
      <c r="L277" s="292" t="s">
        <v>824</v>
      </c>
      <c r="M277" s="66" t="s">
        <v>821</v>
      </c>
      <c r="N277" s="719" t="s">
        <v>857</v>
      </c>
    </row>
    <row r="278" spans="1:15" ht="27.75" customHeight="1">
      <c r="A278" s="696">
        <v>46266</v>
      </c>
      <c r="L278" s="292" t="s">
        <v>824</v>
      </c>
      <c r="M278" s="701" t="s">
        <v>814</v>
      </c>
      <c r="N278" s="351" t="s">
        <v>826</v>
      </c>
    </row>
    <row r="279" spans="1:15" ht="27.75" customHeight="1">
      <c r="A279" s="696">
        <v>46267</v>
      </c>
      <c r="M279" s="702" t="s">
        <v>815</v>
      </c>
      <c r="N279" s="351" t="s">
        <v>827</v>
      </c>
    </row>
    <row r="280" spans="1:15" ht="27.75" customHeight="1">
      <c r="A280" s="696">
        <v>46268</v>
      </c>
      <c r="M280" s="702" t="s">
        <v>815</v>
      </c>
      <c r="N280" s="351" t="s">
        <v>827</v>
      </c>
    </row>
    <row r="281" spans="1:15" ht="27.75" customHeight="1">
      <c r="A281" s="696">
        <v>46269</v>
      </c>
      <c r="M281" s="702" t="s">
        <v>815</v>
      </c>
      <c r="N281" s="700" t="s">
        <v>828</v>
      </c>
    </row>
    <row r="282" spans="1:15" s="695" customFormat="1" ht="27.75" customHeight="1">
      <c r="A282" s="694">
        <v>46270</v>
      </c>
      <c r="M282" s="702" t="s">
        <v>815</v>
      </c>
      <c r="N282" s="705" t="s">
        <v>829</v>
      </c>
    </row>
    <row r="283" spans="1:15" s="695" customFormat="1" ht="27.75" customHeight="1">
      <c r="A283" s="694">
        <v>46271</v>
      </c>
      <c r="M283" s="702" t="s">
        <v>815</v>
      </c>
      <c r="N283" s="705" t="s">
        <v>829</v>
      </c>
    </row>
    <row r="284" spans="1:15" ht="27.75" customHeight="1">
      <c r="A284" s="696">
        <v>46272</v>
      </c>
      <c r="M284" s="351" t="s">
        <v>816</v>
      </c>
      <c r="N284" s="351" t="s">
        <v>829</v>
      </c>
    </row>
    <row r="285" spans="1:15" ht="27.75" customHeight="1">
      <c r="A285" s="696">
        <v>46273</v>
      </c>
      <c r="M285" s="351" t="s">
        <v>817</v>
      </c>
      <c r="N285" s="66" t="s">
        <v>821</v>
      </c>
    </row>
    <row r="286" spans="1:15" ht="27.75" customHeight="1">
      <c r="A286" s="696">
        <v>46274</v>
      </c>
      <c r="M286" s="351" t="s">
        <v>817</v>
      </c>
      <c r="N286" s="701" t="s">
        <v>814</v>
      </c>
    </row>
    <row r="287" spans="1:15" ht="27.75" customHeight="1">
      <c r="A287" s="696">
        <v>46275</v>
      </c>
      <c r="M287" s="351" t="s">
        <v>817</v>
      </c>
      <c r="N287" s="702" t="s">
        <v>815</v>
      </c>
    </row>
    <row r="288" spans="1:15" ht="27.75" customHeight="1">
      <c r="A288" s="696">
        <v>46276</v>
      </c>
      <c r="M288" s="351" t="s">
        <v>817</v>
      </c>
      <c r="N288" s="702" t="s">
        <v>815</v>
      </c>
    </row>
    <row r="289" spans="1:15" s="695" customFormat="1" ht="27.75" customHeight="1">
      <c r="A289" s="694">
        <v>46277</v>
      </c>
      <c r="M289" s="705" t="s">
        <v>817</v>
      </c>
      <c r="N289" s="702" t="s">
        <v>815</v>
      </c>
    </row>
    <row r="290" spans="1:15" s="695" customFormat="1" ht="27.75" customHeight="1">
      <c r="A290" s="694">
        <v>46278</v>
      </c>
      <c r="M290" s="705" t="s">
        <v>817</v>
      </c>
      <c r="N290" s="702" t="s">
        <v>815</v>
      </c>
    </row>
    <row r="291" spans="1:15" ht="27.75" customHeight="1">
      <c r="A291" s="696">
        <v>46279</v>
      </c>
      <c r="M291" s="351" t="s">
        <v>817</v>
      </c>
      <c r="N291" s="702" t="s">
        <v>815</v>
      </c>
    </row>
    <row r="292" spans="1:15" ht="27.75" customHeight="1">
      <c r="A292" s="696">
        <v>46280</v>
      </c>
      <c r="M292" s="351" t="s">
        <v>817</v>
      </c>
      <c r="N292" s="351" t="s">
        <v>816</v>
      </c>
    </row>
    <row r="293" spans="1:15" ht="27.75" customHeight="1">
      <c r="A293" s="696">
        <v>46281</v>
      </c>
      <c r="M293" s="707" t="s">
        <v>818</v>
      </c>
      <c r="N293" s="351" t="s">
        <v>817</v>
      </c>
      <c r="O293" s="689" t="s">
        <v>858</v>
      </c>
    </row>
    <row r="294" spans="1:15" ht="27.75" customHeight="1">
      <c r="A294" s="696">
        <v>46282</v>
      </c>
      <c r="M294" s="707" t="s">
        <v>818</v>
      </c>
      <c r="N294" s="351" t="s">
        <v>817</v>
      </c>
      <c r="O294" s="351" t="s">
        <v>826</v>
      </c>
    </row>
    <row r="295" spans="1:15" ht="27.75" customHeight="1">
      <c r="A295" s="696">
        <v>46283</v>
      </c>
      <c r="M295" s="707" t="s">
        <v>818</v>
      </c>
      <c r="N295" s="351" t="s">
        <v>817</v>
      </c>
      <c r="O295" s="351" t="s">
        <v>827</v>
      </c>
    </row>
    <row r="296" spans="1:15" s="695" customFormat="1" ht="27.75" customHeight="1">
      <c r="A296" s="694">
        <v>46284</v>
      </c>
      <c r="M296" s="714" t="s">
        <v>824</v>
      </c>
      <c r="N296" s="705" t="s">
        <v>817</v>
      </c>
      <c r="O296" s="705" t="s">
        <v>839</v>
      </c>
    </row>
    <row r="297" spans="1:15" s="695" customFormat="1" ht="27.75" customHeight="1">
      <c r="A297" s="694">
        <v>46285</v>
      </c>
      <c r="M297" s="714" t="s">
        <v>824</v>
      </c>
      <c r="N297" s="705" t="s">
        <v>817</v>
      </c>
      <c r="O297" s="705" t="s">
        <v>839</v>
      </c>
    </row>
    <row r="298" spans="1:15" ht="27.75" customHeight="1">
      <c r="A298" s="696">
        <v>46286</v>
      </c>
      <c r="N298" s="707" t="s">
        <v>818</v>
      </c>
      <c r="O298" s="351" t="s">
        <v>827</v>
      </c>
    </row>
    <row r="299" spans="1:15" ht="27.75" customHeight="1">
      <c r="A299" s="696">
        <v>46287</v>
      </c>
      <c r="N299" s="391" t="s">
        <v>819</v>
      </c>
      <c r="O299" s="700" t="s">
        <v>828</v>
      </c>
    </row>
    <row r="300" spans="1:15" ht="27.75" customHeight="1">
      <c r="A300" s="696">
        <v>46288</v>
      </c>
      <c r="N300" s="391" t="s">
        <v>819</v>
      </c>
      <c r="O300" s="351" t="s">
        <v>829</v>
      </c>
    </row>
    <row r="301" spans="1:15" ht="27.75" customHeight="1">
      <c r="A301" s="696">
        <v>46289</v>
      </c>
      <c r="N301" s="713" t="s">
        <v>824</v>
      </c>
      <c r="O301" s="351" t="s">
        <v>829</v>
      </c>
    </row>
    <row r="302" spans="1:15" ht="27.75" customHeight="1">
      <c r="A302" s="696">
        <v>46290</v>
      </c>
      <c r="N302" s="713" t="s">
        <v>824</v>
      </c>
      <c r="O302" s="66" t="s">
        <v>821</v>
      </c>
    </row>
    <row r="303" spans="1:15" s="695" customFormat="1" ht="27.75" customHeight="1">
      <c r="A303" s="694">
        <v>46291</v>
      </c>
      <c r="N303" s="714" t="s">
        <v>824</v>
      </c>
      <c r="O303" s="701" t="s">
        <v>814</v>
      </c>
    </row>
    <row r="304" spans="1:15" s="695" customFormat="1" ht="27.75" customHeight="1">
      <c r="A304" s="694">
        <v>46292</v>
      </c>
      <c r="N304" s="714" t="s">
        <v>824</v>
      </c>
      <c r="O304" s="702" t="s">
        <v>815</v>
      </c>
    </row>
    <row r="305" spans="1:16" ht="27.75" customHeight="1">
      <c r="A305" s="696">
        <v>46293</v>
      </c>
      <c r="O305" s="702" t="s">
        <v>815</v>
      </c>
    </row>
    <row r="306" spans="1:16" ht="27.75" customHeight="1">
      <c r="A306" s="696">
        <v>46294</v>
      </c>
      <c r="O306" s="702" t="s">
        <v>815</v>
      </c>
    </row>
    <row r="307" spans="1:16" ht="27.75" customHeight="1">
      <c r="A307" s="696">
        <v>46295</v>
      </c>
      <c r="O307" s="702" t="s">
        <v>815</v>
      </c>
    </row>
    <row r="308" spans="1:16" ht="27.75" customHeight="1">
      <c r="A308" s="696">
        <v>46296</v>
      </c>
      <c r="O308" s="702" t="s">
        <v>815</v>
      </c>
    </row>
    <row r="309" spans="1:16" ht="27.75" customHeight="1">
      <c r="A309" s="696">
        <v>46297</v>
      </c>
      <c r="O309" s="351" t="s">
        <v>816</v>
      </c>
    </row>
    <row r="310" spans="1:16" s="695" customFormat="1" ht="27.75" customHeight="1">
      <c r="A310" s="694">
        <v>46298</v>
      </c>
      <c r="O310" s="705" t="s">
        <v>817</v>
      </c>
    </row>
    <row r="311" spans="1:16" s="695" customFormat="1" ht="27.75" customHeight="1">
      <c r="A311" s="694">
        <v>46299</v>
      </c>
      <c r="O311" s="705" t="s">
        <v>817</v>
      </c>
    </row>
    <row r="312" spans="1:16" ht="27.75" customHeight="1">
      <c r="A312" s="696">
        <v>46300</v>
      </c>
      <c r="O312" s="351" t="s">
        <v>817</v>
      </c>
      <c r="P312" s="690" t="s">
        <v>806</v>
      </c>
    </row>
    <row r="313" spans="1:16" ht="27.75" customHeight="1">
      <c r="A313" s="696">
        <v>46301</v>
      </c>
      <c r="O313" s="351" t="s">
        <v>817</v>
      </c>
      <c r="P313" s="351" t="s">
        <v>826</v>
      </c>
    </row>
    <row r="314" spans="1:16" ht="27.75" customHeight="1">
      <c r="A314" s="696">
        <v>46302</v>
      </c>
      <c r="O314" s="707" t="s">
        <v>818</v>
      </c>
      <c r="P314" s="351" t="s">
        <v>827</v>
      </c>
    </row>
    <row r="315" spans="1:16" ht="27.75" customHeight="1">
      <c r="A315" s="696">
        <v>46303</v>
      </c>
      <c r="O315" s="391" t="s">
        <v>819</v>
      </c>
      <c r="P315" s="351" t="s">
        <v>827</v>
      </c>
    </row>
    <row r="316" spans="1:16" ht="27.75" customHeight="1">
      <c r="A316" s="696">
        <v>46304</v>
      </c>
      <c r="O316" s="391" t="s">
        <v>819</v>
      </c>
      <c r="P316" s="700" t="s">
        <v>828</v>
      </c>
    </row>
    <row r="317" spans="1:16" s="695" customFormat="1" ht="27.75" customHeight="1">
      <c r="A317" s="694">
        <v>46305</v>
      </c>
      <c r="O317" s="714" t="s">
        <v>824</v>
      </c>
      <c r="P317" s="705" t="s">
        <v>829</v>
      </c>
    </row>
    <row r="318" spans="1:16" s="695" customFormat="1" ht="27.75" customHeight="1">
      <c r="A318" s="694">
        <v>46306</v>
      </c>
      <c r="O318" s="714" t="s">
        <v>824</v>
      </c>
      <c r="P318" s="705" t="s">
        <v>829</v>
      </c>
    </row>
    <row r="319" spans="1:16" ht="27.75" customHeight="1">
      <c r="A319" s="698">
        <v>46307</v>
      </c>
      <c r="O319" s="713" t="s">
        <v>824</v>
      </c>
      <c r="P319" s="351" t="s">
        <v>829</v>
      </c>
    </row>
    <row r="320" spans="1:16" ht="27.75" customHeight="1">
      <c r="A320" s="696">
        <v>46308</v>
      </c>
      <c r="O320" s="713" t="s">
        <v>824</v>
      </c>
      <c r="P320" s="351" t="s">
        <v>829</v>
      </c>
    </row>
    <row r="321" spans="1:16" ht="27.75" customHeight="1">
      <c r="A321" s="696">
        <v>46309</v>
      </c>
      <c r="P321" s="66" t="s">
        <v>821</v>
      </c>
    </row>
    <row r="322" spans="1:16" ht="27.75" customHeight="1">
      <c r="A322" s="696">
        <v>46310</v>
      </c>
      <c r="P322" s="701" t="s">
        <v>814</v>
      </c>
    </row>
    <row r="323" spans="1:16" ht="27.75" customHeight="1">
      <c r="A323" s="696">
        <v>46311</v>
      </c>
      <c r="P323" s="702" t="s">
        <v>815</v>
      </c>
    </row>
    <row r="324" spans="1:16" s="695" customFormat="1" ht="27.75" customHeight="1">
      <c r="A324" s="694">
        <v>46312</v>
      </c>
      <c r="P324" s="702" t="s">
        <v>815</v>
      </c>
    </row>
    <row r="325" spans="1:16" s="695" customFormat="1" ht="27.75" customHeight="1">
      <c r="A325" s="694">
        <v>46313</v>
      </c>
      <c r="P325" s="702" t="s">
        <v>815</v>
      </c>
    </row>
    <row r="326" spans="1:16" ht="27.75" customHeight="1">
      <c r="A326" s="698">
        <v>46314</v>
      </c>
      <c r="P326" s="702" t="s">
        <v>815</v>
      </c>
    </row>
    <row r="327" spans="1:16" ht="27.75" customHeight="1">
      <c r="A327" s="698">
        <v>46315</v>
      </c>
      <c r="P327" s="702" t="s">
        <v>815</v>
      </c>
    </row>
    <row r="328" spans="1:16" ht="27.75" customHeight="1">
      <c r="A328" s="696">
        <v>46316</v>
      </c>
      <c r="P328" s="351" t="s">
        <v>816</v>
      </c>
    </row>
    <row r="329" spans="1:16" ht="27.75" customHeight="1">
      <c r="A329" s="696">
        <v>46317</v>
      </c>
      <c r="P329" s="351" t="s">
        <v>817</v>
      </c>
    </row>
    <row r="330" spans="1:16" ht="27.75" customHeight="1">
      <c r="A330" s="696">
        <v>46318</v>
      </c>
      <c r="P330" s="351" t="s">
        <v>817</v>
      </c>
    </row>
    <row r="331" spans="1:16" s="695" customFormat="1" ht="27.75" customHeight="1">
      <c r="A331" s="694">
        <v>46319</v>
      </c>
      <c r="P331" s="705" t="s">
        <v>817</v>
      </c>
    </row>
    <row r="332" spans="1:16" s="695" customFormat="1" ht="27.75" customHeight="1">
      <c r="A332" s="694">
        <v>46320</v>
      </c>
      <c r="P332" s="705" t="s">
        <v>817</v>
      </c>
    </row>
    <row r="333" spans="1:16" ht="27.75" customHeight="1">
      <c r="A333" s="696">
        <v>46321</v>
      </c>
      <c r="P333" s="707" t="s">
        <v>818</v>
      </c>
    </row>
    <row r="334" spans="1:16" ht="27.75" customHeight="1">
      <c r="A334" s="696">
        <v>46322</v>
      </c>
      <c r="P334" s="391" t="s">
        <v>819</v>
      </c>
    </row>
    <row r="335" spans="1:16" ht="27.75" customHeight="1">
      <c r="A335" s="696">
        <v>46323</v>
      </c>
      <c r="P335" s="391" t="s">
        <v>819</v>
      </c>
    </row>
    <row r="336" spans="1:16" ht="27.75" customHeight="1">
      <c r="A336" s="696">
        <v>46324</v>
      </c>
      <c r="P336" s="713" t="s">
        <v>824</v>
      </c>
    </row>
    <row r="337" spans="1:16" ht="27.75" customHeight="1">
      <c r="A337" s="696">
        <v>46325</v>
      </c>
      <c r="P337" s="713" t="s">
        <v>824</v>
      </c>
    </row>
    <row r="338" spans="1:16" s="695" customFormat="1" ht="27.75" customHeight="1">
      <c r="A338" s="694">
        <v>46326</v>
      </c>
      <c r="P338" s="714" t="s">
        <v>824</v>
      </c>
    </row>
    <row r="339" spans="1:16" s="695" customFormat="1" ht="27.75" customHeight="1">
      <c r="A339" s="694">
        <v>46327</v>
      </c>
      <c r="P339" s="714" t="s">
        <v>824</v>
      </c>
    </row>
    <row r="340" spans="1:16" ht="27.75" customHeight="1">
      <c r="A340" s="696">
        <v>46328</v>
      </c>
    </row>
    <row r="341" spans="1:16" ht="27.75" customHeight="1">
      <c r="A341" s="696">
        <v>46329</v>
      </c>
    </row>
    <row r="342" spans="1:16" ht="27.75" customHeight="1">
      <c r="A342" s="696">
        <v>46330</v>
      </c>
    </row>
    <row r="343" spans="1:16" ht="27.75" customHeight="1">
      <c r="A343" s="698">
        <v>46331</v>
      </c>
    </row>
    <row r="344" spans="1:16" ht="27.75" customHeight="1">
      <c r="A344" s="696">
        <v>46332</v>
      </c>
    </row>
    <row r="345" spans="1:16" s="695" customFormat="1" ht="27.75" customHeight="1">
      <c r="A345" s="694">
        <v>46333</v>
      </c>
    </row>
    <row r="346" spans="1:16" s="695" customFormat="1" ht="27.75" customHeight="1">
      <c r="A346" s="694">
        <v>46334</v>
      </c>
    </row>
    <row r="347" spans="1:16" ht="27.75" customHeight="1">
      <c r="A347" s="696">
        <v>46335</v>
      </c>
    </row>
    <row r="348" spans="1:16" ht="27.75" customHeight="1">
      <c r="A348" s="696">
        <v>46336</v>
      </c>
    </row>
    <row r="349" spans="1:16" ht="27.75" customHeight="1">
      <c r="A349" s="696">
        <v>46337</v>
      </c>
    </row>
    <row r="350" spans="1:16" ht="27.75" customHeight="1">
      <c r="A350" s="696">
        <v>46338</v>
      </c>
    </row>
    <row r="351" spans="1:16" ht="27.75" customHeight="1">
      <c r="A351" s="696">
        <v>46339</v>
      </c>
    </row>
    <row r="352" spans="1:16" s="695" customFormat="1" ht="27.75" customHeight="1">
      <c r="A352" s="694">
        <v>46340</v>
      </c>
    </row>
    <row r="353" spans="1:1" s="695" customFormat="1" ht="27.75" customHeight="1">
      <c r="A353" s="694">
        <v>46341</v>
      </c>
    </row>
    <row r="354" spans="1:1" ht="27.75" customHeight="1">
      <c r="A354" s="696">
        <v>46342</v>
      </c>
    </row>
    <row r="355" spans="1:1" ht="27.75" customHeight="1">
      <c r="A355" s="696">
        <v>46343</v>
      </c>
    </row>
    <row r="356" spans="1:1" ht="27.75" customHeight="1">
      <c r="A356" s="696">
        <v>46344</v>
      </c>
    </row>
    <row r="357" spans="1:1" ht="27.75" customHeight="1">
      <c r="A357" s="696">
        <v>46345</v>
      </c>
    </row>
    <row r="358" spans="1:1" ht="27.75" customHeight="1">
      <c r="A358" s="696">
        <v>46346</v>
      </c>
    </row>
    <row r="359" spans="1:1" s="695" customFormat="1" ht="27.75" customHeight="1">
      <c r="A359" s="694">
        <v>46347</v>
      </c>
    </row>
    <row r="360" spans="1:1" s="695" customFormat="1" ht="27.75" customHeight="1">
      <c r="A360" s="694">
        <v>46348</v>
      </c>
    </row>
    <row r="361" spans="1:1" ht="27.75" customHeight="1">
      <c r="A361" s="696">
        <v>46349</v>
      </c>
    </row>
    <row r="362" spans="1:1" ht="27.75" customHeight="1">
      <c r="A362" s="696">
        <v>46350</v>
      </c>
    </row>
    <row r="363" spans="1:1" ht="27.75" customHeight="1">
      <c r="A363" s="696">
        <v>46351</v>
      </c>
    </row>
    <row r="364" spans="1:1" ht="27.75" customHeight="1">
      <c r="A364" s="696">
        <v>46352</v>
      </c>
    </row>
    <row r="365" spans="1:1" ht="27.75" customHeight="1">
      <c r="A365" s="696">
        <v>46353</v>
      </c>
    </row>
    <row r="366" spans="1:1" s="695" customFormat="1" ht="27.75" customHeight="1">
      <c r="A366" s="694">
        <v>46354</v>
      </c>
    </row>
    <row r="367" spans="1:1" s="695" customFormat="1" ht="27.75" customHeight="1">
      <c r="A367" s="694">
        <v>46355</v>
      </c>
    </row>
    <row r="368" spans="1:1" ht="27.75" customHeight="1">
      <c r="A368" s="696">
        <v>46356</v>
      </c>
    </row>
    <row r="369" spans="1:1" ht="27.75" customHeight="1">
      <c r="A369" s="696">
        <v>46357</v>
      </c>
    </row>
    <row r="370" spans="1:1" ht="27.75" customHeight="1">
      <c r="A370" s="696">
        <v>46358</v>
      </c>
    </row>
    <row r="371" spans="1:1" ht="27.75" customHeight="1">
      <c r="A371" s="696">
        <v>46359</v>
      </c>
    </row>
    <row r="372" spans="1:1" ht="27.75" customHeight="1">
      <c r="A372" s="696">
        <v>46360</v>
      </c>
    </row>
    <row r="373" spans="1:1" s="695" customFormat="1" ht="27.75" customHeight="1">
      <c r="A373" s="694">
        <v>46361</v>
      </c>
    </row>
    <row r="374" spans="1:1" s="695" customFormat="1" ht="27.75" customHeight="1">
      <c r="A374" s="694">
        <v>46362</v>
      </c>
    </row>
    <row r="375" spans="1:1" ht="27.75" customHeight="1">
      <c r="A375" s="696">
        <v>46363</v>
      </c>
    </row>
    <row r="376" spans="1:1" ht="27.75" customHeight="1">
      <c r="A376" s="696">
        <v>46364</v>
      </c>
    </row>
    <row r="377" spans="1:1" ht="27.75" customHeight="1">
      <c r="A377" s="696">
        <v>46365</v>
      </c>
    </row>
    <row r="378" spans="1:1" ht="27.75" customHeight="1">
      <c r="A378" s="696">
        <v>46366</v>
      </c>
    </row>
    <row r="379" spans="1:1" ht="27.75" customHeight="1">
      <c r="A379" s="696">
        <v>46367</v>
      </c>
    </row>
    <row r="380" spans="1:1" s="695" customFormat="1" ht="27.75" customHeight="1">
      <c r="A380" s="694">
        <v>46368</v>
      </c>
    </row>
    <row r="381" spans="1:1" s="695" customFormat="1" ht="27.75" customHeight="1">
      <c r="A381" s="694">
        <v>46369</v>
      </c>
    </row>
    <row r="382" spans="1:1" ht="27.75" customHeight="1">
      <c r="A382" s="696">
        <v>46370</v>
      </c>
    </row>
    <row r="383" spans="1:1" ht="27.75" customHeight="1">
      <c r="A383" s="696">
        <v>46371</v>
      </c>
    </row>
    <row r="384" spans="1:1" ht="27.75" customHeight="1">
      <c r="A384" s="696">
        <v>46372</v>
      </c>
    </row>
    <row r="385" spans="1:18" ht="27.75" customHeight="1">
      <c r="A385" s="696">
        <v>46373</v>
      </c>
    </row>
    <row r="386" spans="1:18" ht="27.75" customHeight="1">
      <c r="A386" s="696">
        <v>46374</v>
      </c>
    </row>
    <row r="387" spans="1:18" s="695" customFormat="1" ht="27.75" customHeight="1">
      <c r="A387" s="694">
        <v>46375</v>
      </c>
    </row>
    <row r="388" spans="1:18" s="695" customFormat="1" ht="27.75" customHeight="1">
      <c r="A388" s="694">
        <v>46376</v>
      </c>
    </row>
    <row r="389" spans="1:18" ht="27.75" customHeight="1">
      <c r="A389" s="696">
        <v>46377</v>
      </c>
      <c r="Q389" s="691" t="s">
        <v>807</v>
      </c>
    </row>
    <row r="390" spans="1:18" ht="27.75" customHeight="1">
      <c r="A390" s="696">
        <v>46378</v>
      </c>
      <c r="Q390" s="351" t="s">
        <v>826</v>
      </c>
    </row>
    <row r="391" spans="1:18" ht="27.75" customHeight="1">
      <c r="A391" s="696">
        <v>46379</v>
      </c>
      <c r="Q391" s="351" t="s">
        <v>827</v>
      </c>
    </row>
    <row r="392" spans="1:18" ht="27.75" customHeight="1">
      <c r="A392" s="696">
        <v>46380</v>
      </c>
      <c r="Q392" s="351" t="s">
        <v>827</v>
      </c>
    </row>
    <row r="393" spans="1:18" ht="27.75" customHeight="1">
      <c r="A393" s="696">
        <v>46381</v>
      </c>
      <c r="Q393" s="700" t="s">
        <v>828</v>
      </c>
    </row>
    <row r="394" spans="1:18" s="695" customFormat="1" ht="27.75" customHeight="1">
      <c r="A394" s="694">
        <v>46382</v>
      </c>
      <c r="Q394" s="705" t="s">
        <v>829</v>
      </c>
    </row>
    <row r="395" spans="1:18" s="695" customFormat="1" ht="27.75" customHeight="1">
      <c r="A395" s="694">
        <v>46383</v>
      </c>
      <c r="Q395" s="705" t="s">
        <v>829</v>
      </c>
    </row>
    <row r="396" spans="1:18" ht="27.75" customHeight="1">
      <c r="A396" s="696">
        <v>46384</v>
      </c>
      <c r="Q396" s="351" t="s">
        <v>829</v>
      </c>
      <c r="R396" s="692" t="s">
        <v>808</v>
      </c>
    </row>
    <row r="397" spans="1:18" ht="27.75" customHeight="1">
      <c r="A397" s="696">
        <v>46385</v>
      </c>
      <c r="Q397" s="66" t="s">
        <v>821</v>
      </c>
      <c r="R397" s="351" t="s">
        <v>826</v>
      </c>
    </row>
    <row r="398" spans="1:18" ht="27.75" customHeight="1">
      <c r="A398" s="696">
        <v>46386</v>
      </c>
      <c r="Q398" s="701" t="s">
        <v>814</v>
      </c>
      <c r="R398" s="351" t="s">
        <v>827</v>
      </c>
    </row>
    <row r="399" spans="1:18" ht="27.75" customHeight="1">
      <c r="A399" s="696">
        <v>46387</v>
      </c>
      <c r="Q399" s="702" t="s">
        <v>815</v>
      </c>
      <c r="R399" s="351" t="s">
        <v>827</v>
      </c>
    </row>
    <row r="400" spans="1:18" ht="27.75" customHeight="1">
      <c r="A400" s="696">
        <v>46388</v>
      </c>
      <c r="Q400" s="702" t="s">
        <v>815</v>
      </c>
      <c r="R400" s="700" t="s">
        <v>828</v>
      </c>
    </row>
    <row r="401" spans="1:18" s="695" customFormat="1" ht="27.75" customHeight="1">
      <c r="A401" s="694">
        <v>46389</v>
      </c>
      <c r="Q401" s="702" t="s">
        <v>815</v>
      </c>
      <c r="R401" s="705" t="s">
        <v>829</v>
      </c>
    </row>
    <row r="402" spans="1:18" s="695" customFormat="1" ht="27.75" customHeight="1">
      <c r="A402" s="694">
        <v>46390</v>
      </c>
      <c r="Q402" s="702" t="s">
        <v>815</v>
      </c>
      <c r="R402" s="705" t="s">
        <v>829</v>
      </c>
    </row>
    <row r="403" spans="1:18" ht="27.75" customHeight="1">
      <c r="A403" s="696">
        <v>46391</v>
      </c>
      <c r="Q403" s="702" t="s">
        <v>815</v>
      </c>
      <c r="R403" s="351" t="s">
        <v>829</v>
      </c>
    </row>
    <row r="404" spans="1:18" ht="27.75" customHeight="1">
      <c r="A404" s="696">
        <v>46392</v>
      </c>
      <c r="Q404" s="351" t="s">
        <v>816</v>
      </c>
      <c r="R404" s="351" t="s">
        <v>829</v>
      </c>
    </row>
    <row r="405" spans="1:18" ht="27.75" customHeight="1">
      <c r="A405" s="696">
        <v>46393</v>
      </c>
      <c r="Q405" s="351" t="s">
        <v>817</v>
      </c>
      <c r="R405" s="66" t="s">
        <v>821</v>
      </c>
    </row>
    <row r="406" spans="1:18" ht="27.75" customHeight="1">
      <c r="A406" s="696">
        <v>46394</v>
      </c>
      <c r="Q406" s="351" t="s">
        <v>817</v>
      </c>
      <c r="R406" s="701" t="s">
        <v>814</v>
      </c>
    </row>
    <row r="407" spans="1:18" ht="27.75" customHeight="1">
      <c r="A407" s="696">
        <v>46395</v>
      </c>
      <c r="Q407" s="351" t="s">
        <v>817</v>
      </c>
      <c r="R407" s="702" t="s">
        <v>815</v>
      </c>
    </row>
    <row r="408" spans="1:18" s="695" customFormat="1" ht="27.75" customHeight="1">
      <c r="A408" s="694">
        <v>46396</v>
      </c>
      <c r="Q408" s="705" t="s">
        <v>817</v>
      </c>
      <c r="R408" s="702" t="s">
        <v>815</v>
      </c>
    </row>
    <row r="409" spans="1:18" s="695" customFormat="1" ht="27.75" customHeight="1">
      <c r="A409" s="694">
        <v>46397</v>
      </c>
      <c r="Q409" s="705" t="s">
        <v>817</v>
      </c>
      <c r="R409" s="702" t="s">
        <v>815</v>
      </c>
    </row>
    <row r="410" spans="1:18" ht="27.75" customHeight="1">
      <c r="A410" s="696">
        <v>46398</v>
      </c>
      <c r="Q410" s="351" t="s">
        <v>817</v>
      </c>
      <c r="R410" s="702" t="s">
        <v>815</v>
      </c>
    </row>
    <row r="411" spans="1:18" ht="27.75" customHeight="1">
      <c r="A411" s="696">
        <v>46399</v>
      </c>
      <c r="Q411" s="351" t="s">
        <v>817</v>
      </c>
      <c r="R411" s="702" t="s">
        <v>815</v>
      </c>
    </row>
    <row r="412" spans="1:18" ht="27.75" customHeight="1">
      <c r="A412" s="696">
        <v>46400</v>
      </c>
      <c r="Q412" s="351" t="s">
        <v>817</v>
      </c>
      <c r="R412" s="351" t="s">
        <v>816</v>
      </c>
    </row>
    <row r="413" spans="1:18" ht="27.75" customHeight="1">
      <c r="A413" s="696">
        <v>46401</v>
      </c>
      <c r="Q413" s="707" t="s">
        <v>818</v>
      </c>
      <c r="R413" s="351" t="s">
        <v>817</v>
      </c>
    </row>
    <row r="414" spans="1:18" ht="27.75" customHeight="1">
      <c r="A414" s="696">
        <v>46402</v>
      </c>
      <c r="Q414" s="391" t="s">
        <v>819</v>
      </c>
      <c r="R414" s="351" t="s">
        <v>817</v>
      </c>
    </row>
    <row r="415" spans="1:18" s="695" customFormat="1" ht="27.75" customHeight="1">
      <c r="A415" s="694">
        <v>46403</v>
      </c>
      <c r="Q415" s="391" t="s">
        <v>819</v>
      </c>
      <c r="R415" s="705" t="s">
        <v>817</v>
      </c>
    </row>
    <row r="416" spans="1:18" s="695" customFormat="1" ht="27.75" customHeight="1">
      <c r="A416" s="694">
        <v>46404</v>
      </c>
      <c r="Q416" s="714" t="s">
        <v>824</v>
      </c>
      <c r="R416" s="705" t="s">
        <v>817</v>
      </c>
    </row>
    <row r="417" spans="1:18" ht="27.75" customHeight="1">
      <c r="A417" s="696">
        <v>46405</v>
      </c>
      <c r="Q417" s="713" t="s">
        <v>824</v>
      </c>
      <c r="R417" s="707" t="s">
        <v>818</v>
      </c>
    </row>
    <row r="418" spans="1:18" ht="27.75" customHeight="1">
      <c r="A418" s="696">
        <v>46406</v>
      </c>
      <c r="Q418" s="713" t="s">
        <v>824</v>
      </c>
      <c r="R418" s="391" t="s">
        <v>819</v>
      </c>
    </row>
    <row r="419" spans="1:18" ht="27.75" customHeight="1">
      <c r="A419" s="696">
        <v>46407</v>
      </c>
      <c r="R419" s="391" t="s">
        <v>819</v>
      </c>
    </row>
    <row r="420" spans="1:18" ht="27.75" customHeight="1">
      <c r="A420" s="696">
        <v>46408</v>
      </c>
      <c r="R420" s="713" t="s">
        <v>824</v>
      </c>
    </row>
    <row r="421" spans="1:18" ht="27.75" customHeight="1">
      <c r="A421" s="696">
        <v>46409</v>
      </c>
      <c r="R421" s="713" t="s">
        <v>824</v>
      </c>
    </row>
    <row r="422" spans="1:18" s="695" customFormat="1" ht="27.75" customHeight="1">
      <c r="A422" s="694">
        <v>46410</v>
      </c>
      <c r="R422" s="714" t="s">
        <v>824</v>
      </c>
    </row>
    <row r="423" spans="1:18" s="695" customFormat="1" ht="27.75" customHeight="1">
      <c r="A423" s="694">
        <v>46411</v>
      </c>
      <c r="R423" s="714" t="s">
        <v>824</v>
      </c>
    </row>
    <row r="424" spans="1:18" ht="27.75" customHeight="1">
      <c r="A424" s="696">
        <v>46412</v>
      </c>
    </row>
    <row r="425" spans="1:18" ht="27.75" customHeight="1">
      <c r="A425" s="696">
        <v>46413</v>
      </c>
    </row>
    <row r="426" spans="1:18" ht="27.75" customHeight="1">
      <c r="A426" s="696">
        <v>46414</v>
      </c>
    </row>
    <row r="427" spans="1:18" ht="27.75" customHeight="1">
      <c r="A427" s="696">
        <v>46415</v>
      </c>
    </row>
    <row r="428" spans="1:18" ht="27.75" customHeight="1">
      <c r="A428" s="696">
        <v>46416</v>
      </c>
    </row>
    <row r="429" spans="1:18" s="695" customFormat="1" ht="27.75" customHeight="1">
      <c r="A429" s="694">
        <v>46417</v>
      </c>
    </row>
    <row r="430" spans="1:18" s="695" customFormat="1" ht="27.75" customHeight="1">
      <c r="A430" s="694">
        <v>46418</v>
      </c>
    </row>
  </sheetData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AE93-A045-4D9C-8503-A34D19888D80}">
  <dimension ref="A2:Q35"/>
  <sheetViews>
    <sheetView zoomScale="150" zoomScaleNormal="150" workbookViewId="0">
      <selection activeCell="J29" sqref="J29"/>
    </sheetView>
  </sheetViews>
  <sheetFormatPr baseColWidth="10" defaultColWidth="8.83203125" defaultRowHeight="15"/>
  <cols>
    <col min="1" max="1" width="13.83203125" customWidth="1"/>
    <col min="6" max="6" width="21.1640625" bestFit="1" customWidth="1"/>
    <col min="7" max="11" width="12.5" customWidth="1"/>
    <col min="12" max="12" width="13.1640625" customWidth="1"/>
    <col min="13" max="13" width="13" customWidth="1"/>
    <col min="14" max="16" width="13.5" customWidth="1"/>
    <col min="17" max="17" width="16.1640625" customWidth="1"/>
  </cols>
  <sheetData>
    <row r="2" spans="1:17">
      <c r="E2" t="s">
        <v>574</v>
      </c>
    </row>
    <row r="4" spans="1:17">
      <c r="B4" t="s">
        <v>573</v>
      </c>
      <c r="C4">
        <v>2026</v>
      </c>
      <c r="D4">
        <v>2027</v>
      </c>
      <c r="F4" t="s">
        <v>10</v>
      </c>
      <c r="G4" t="s">
        <v>572</v>
      </c>
      <c r="H4" t="s">
        <v>491</v>
      </c>
      <c r="I4" t="s">
        <v>571</v>
      </c>
      <c r="J4" t="s">
        <v>570</v>
      </c>
      <c r="L4" t="s">
        <v>569</v>
      </c>
      <c r="M4" t="s">
        <v>568</v>
      </c>
      <c r="N4" t="s">
        <v>567</v>
      </c>
      <c r="O4" t="s">
        <v>566</v>
      </c>
      <c r="P4" t="s">
        <v>565</v>
      </c>
      <c r="Q4" t="s">
        <v>564</v>
      </c>
    </row>
    <row r="6" spans="1:17">
      <c r="A6" t="s">
        <v>563</v>
      </c>
      <c r="B6">
        <v>1</v>
      </c>
      <c r="C6">
        <v>1</v>
      </c>
      <c r="E6" s="183" t="s">
        <v>59</v>
      </c>
      <c r="F6" s="183" t="s">
        <v>562</v>
      </c>
      <c r="G6" s="183" t="s">
        <v>476</v>
      </c>
      <c r="I6" s="183" t="s">
        <v>561</v>
      </c>
      <c r="P6" t="s">
        <v>556</v>
      </c>
    </row>
    <row r="7" spans="1:17">
      <c r="E7" s="182"/>
      <c r="F7" s="182"/>
      <c r="G7" s="182"/>
    </row>
    <row r="8" spans="1:17">
      <c r="A8" t="s">
        <v>560</v>
      </c>
      <c r="B8">
        <v>1</v>
      </c>
      <c r="C8">
        <v>1</v>
      </c>
      <c r="E8" s="179" t="s">
        <v>84</v>
      </c>
      <c r="F8" s="180" t="s">
        <v>689</v>
      </c>
      <c r="G8" s="179" t="s">
        <v>476</v>
      </c>
      <c r="H8" t="s">
        <v>557</v>
      </c>
      <c r="I8" t="s">
        <v>550</v>
      </c>
      <c r="L8" t="s">
        <v>540</v>
      </c>
      <c r="P8" t="s">
        <v>556</v>
      </c>
    </row>
    <row r="9" spans="1:17">
      <c r="A9" t="s">
        <v>559</v>
      </c>
      <c r="B9">
        <v>2</v>
      </c>
      <c r="C9">
        <v>2</v>
      </c>
      <c r="E9" s="179" t="s">
        <v>89</v>
      </c>
      <c r="F9" s="180" t="s">
        <v>558</v>
      </c>
      <c r="G9" s="179" t="s">
        <v>476</v>
      </c>
      <c r="H9" t="s">
        <v>557</v>
      </c>
      <c r="I9" t="s">
        <v>550</v>
      </c>
      <c r="L9" t="s">
        <v>540</v>
      </c>
      <c r="M9" s="181">
        <v>486000</v>
      </c>
      <c r="P9" t="s">
        <v>556</v>
      </c>
    </row>
    <row r="10" spans="1:17">
      <c r="A10" t="s">
        <v>555</v>
      </c>
      <c r="B10">
        <v>3</v>
      </c>
      <c r="C10">
        <v>3</v>
      </c>
      <c r="E10" s="179" t="s">
        <v>93</v>
      </c>
      <c r="F10" s="179" t="s">
        <v>351</v>
      </c>
      <c r="G10" s="179" t="s">
        <v>679</v>
      </c>
      <c r="H10" t="s">
        <v>545</v>
      </c>
      <c r="I10" t="s">
        <v>550</v>
      </c>
      <c r="L10" t="s">
        <v>540</v>
      </c>
      <c r="P10" t="s">
        <v>554</v>
      </c>
    </row>
    <row r="11" spans="1:17">
      <c r="A11" t="s">
        <v>553</v>
      </c>
      <c r="B11">
        <v>4</v>
      </c>
      <c r="C11">
        <v>4</v>
      </c>
      <c r="E11" s="179" t="s">
        <v>98</v>
      </c>
      <c r="F11" s="179" t="s">
        <v>351</v>
      </c>
      <c r="G11" s="179" t="s">
        <v>701</v>
      </c>
      <c r="H11" t="s">
        <v>545</v>
      </c>
      <c r="I11" t="s">
        <v>550</v>
      </c>
      <c r="L11" t="s">
        <v>540</v>
      </c>
      <c r="P11" t="s">
        <v>552</v>
      </c>
      <c r="Q11" s="178">
        <v>46173</v>
      </c>
    </row>
    <row r="12" spans="1:17">
      <c r="A12" t="s">
        <v>551</v>
      </c>
      <c r="B12">
        <v>5</v>
      </c>
      <c r="C12">
        <v>5</v>
      </c>
      <c r="E12" s="179" t="s">
        <v>100</v>
      </c>
      <c r="F12" s="179" t="s">
        <v>351</v>
      </c>
      <c r="G12" s="179" t="s">
        <v>702</v>
      </c>
      <c r="H12" t="s">
        <v>545</v>
      </c>
      <c r="I12" t="s">
        <v>550</v>
      </c>
      <c r="L12" t="s">
        <v>540</v>
      </c>
      <c r="Q12" s="178">
        <v>46223</v>
      </c>
    </row>
    <row r="13" spans="1:17">
      <c r="A13" t="s">
        <v>549</v>
      </c>
      <c r="B13">
        <v>6</v>
      </c>
      <c r="C13">
        <v>6</v>
      </c>
      <c r="E13" s="179" t="s">
        <v>104</v>
      </c>
      <c r="F13" s="179" t="s">
        <v>351</v>
      </c>
      <c r="G13" s="179" t="s">
        <v>783</v>
      </c>
      <c r="H13" t="s">
        <v>545</v>
      </c>
      <c r="I13" t="s">
        <v>544</v>
      </c>
      <c r="L13" t="s">
        <v>540</v>
      </c>
      <c r="P13" t="s">
        <v>548</v>
      </c>
      <c r="Q13" s="178">
        <v>46275</v>
      </c>
    </row>
    <row r="14" spans="1:17">
      <c r="A14" t="s">
        <v>547</v>
      </c>
      <c r="B14">
        <v>7</v>
      </c>
      <c r="C14">
        <v>7</v>
      </c>
      <c r="E14" s="179" t="s">
        <v>106</v>
      </c>
      <c r="F14" s="180" t="s">
        <v>546</v>
      </c>
      <c r="G14" s="179" t="s">
        <v>476</v>
      </c>
      <c r="H14" t="s">
        <v>545</v>
      </c>
      <c r="I14" t="s">
        <v>544</v>
      </c>
      <c r="L14" t="s">
        <v>540</v>
      </c>
      <c r="N14" s="178">
        <v>46023</v>
      </c>
      <c r="O14" s="178"/>
      <c r="P14" t="s">
        <v>543</v>
      </c>
      <c r="Q14" s="178">
        <v>46326</v>
      </c>
    </row>
    <row r="15" spans="1:17">
      <c r="A15" t="s">
        <v>542</v>
      </c>
      <c r="B15">
        <v>8</v>
      </c>
      <c r="C15">
        <v>8</v>
      </c>
      <c r="E15" s="179" t="s">
        <v>109</v>
      </c>
      <c r="F15" s="179" t="s">
        <v>784</v>
      </c>
      <c r="G15" s="179" t="s">
        <v>785</v>
      </c>
      <c r="H15" t="s">
        <v>557</v>
      </c>
      <c r="I15" t="s">
        <v>550</v>
      </c>
      <c r="L15" t="s">
        <v>540</v>
      </c>
      <c r="N15" s="178">
        <v>46127</v>
      </c>
      <c r="O15" s="178" t="s">
        <v>523</v>
      </c>
      <c r="Q15" s="178">
        <f t="shared" ref="Q15:Q26" si="0">Q14+35</f>
        <v>46361</v>
      </c>
    </row>
    <row r="16" spans="1:17">
      <c r="A16" t="s">
        <v>539</v>
      </c>
      <c r="B16">
        <v>9</v>
      </c>
      <c r="D16">
        <v>1</v>
      </c>
      <c r="E16" s="179" t="s">
        <v>111</v>
      </c>
      <c r="F16" s="179" t="s">
        <v>351</v>
      </c>
      <c r="G16" s="179" t="s">
        <v>703</v>
      </c>
      <c r="H16" t="s">
        <v>545</v>
      </c>
      <c r="I16" t="s">
        <v>544</v>
      </c>
      <c r="N16" s="178">
        <f t="shared" ref="N16:N26" si="1">N15+35</f>
        <v>46162</v>
      </c>
      <c r="O16" s="178" t="s">
        <v>523</v>
      </c>
      <c r="Q16" s="178">
        <f t="shared" si="0"/>
        <v>46396</v>
      </c>
    </row>
    <row r="17" spans="1:17">
      <c r="A17" t="s">
        <v>538</v>
      </c>
      <c r="B17">
        <v>10</v>
      </c>
      <c r="D17">
        <v>2</v>
      </c>
      <c r="E17" s="179" t="s">
        <v>112</v>
      </c>
      <c r="F17" s="179" t="s">
        <v>476</v>
      </c>
      <c r="G17" s="179" t="s">
        <v>476</v>
      </c>
      <c r="H17" t="s">
        <v>535</v>
      </c>
      <c r="I17" t="s">
        <v>535</v>
      </c>
      <c r="N17" s="178">
        <f t="shared" si="1"/>
        <v>46197</v>
      </c>
      <c r="O17" s="178" t="s">
        <v>523</v>
      </c>
      <c r="Q17" s="178">
        <f t="shared" si="0"/>
        <v>46431</v>
      </c>
    </row>
    <row r="18" spans="1:17">
      <c r="A18" t="s">
        <v>537</v>
      </c>
      <c r="B18">
        <v>11</v>
      </c>
      <c r="D18">
        <v>3</v>
      </c>
      <c r="E18" s="179" t="s">
        <v>116</v>
      </c>
      <c r="F18" s="179" t="s">
        <v>712</v>
      </c>
      <c r="G18" s="179" t="s">
        <v>713</v>
      </c>
      <c r="H18" t="s">
        <v>545</v>
      </c>
      <c r="I18" t="s">
        <v>535</v>
      </c>
      <c r="N18" s="178">
        <f t="shared" si="1"/>
        <v>46232</v>
      </c>
      <c r="O18" s="178" t="s">
        <v>523</v>
      </c>
      <c r="Q18" s="178">
        <f t="shared" si="0"/>
        <v>46466</v>
      </c>
    </row>
    <row r="19" spans="1:17">
      <c r="A19" t="s">
        <v>536</v>
      </c>
      <c r="B19">
        <v>12</v>
      </c>
      <c r="D19">
        <v>4</v>
      </c>
      <c r="E19" s="179" t="s">
        <v>509</v>
      </c>
      <c r="F19" s="179" t="s">
        <v>476</v>
      </c>
      <c r="G19" s="179" t="s">
        <v>476</v>
      </c>
      <c r="H19" t="s">
        <v>535</v>
      </c>
      <c r="I19" t="s">
        <v>535</v>
      </c>
      <c r="N19" s="178">
        <f t="shared" si="1"/>
        <v>46267</v>
      </c>
      <c r="O19" s="178" t="s">
        <v>523</v>
      </c>
      <c r="Q19" s="178">
        <f t="shared" si="0"/>
        <v>46501</v>
      </c>
    </row>
    <row r="20" spans="1:17">
      <c r="A20" t="s">
        <v>534</v>
      </c>
      <c r="B20">
        <v>13</v>
      </c>
      <c r="D20">
        <v>5</v>
      </c>
      <c r="E20" s="179" t="s">
        <v>510</v>
      </c>
      <c r="F20" s="179" t="s">
        <v>476</v>
      </c>
      <c r="G20" s="179" t="s">
        <v>476</v>
      </c>
      <c r="N20" s="178">
        <f t="shared" si="1"/>
        <v>46302</v>
      </c>
      <c r="O20" s="178" t="s">
        <v>523</v>
      </c>
      <c r="Q20" s="178">
        <f t="shared" si="0"/>
        <v>46536</v>
      </c>
    </row>
    <row r="21" spans="1:17">
      <c r="A21" t="s">
        <v>533</v>
      </c>
      <c r="B21">
        <v>14</v>
      </c>
      <c r="D21">
        <v>6</v>
      </c>
      <c r="E21" s="179" t="s">
        <v>511</v>
      </c>
      <c r="F21" s="179" t="s">
        <v>476</v>
      </c>
      <c r="G21" s="179" t="s">
        <v>476</v>
      </c>
      <c r="N21" s="178">
        <f t="shared" si="1"/>
        <v>46337</v>
      </c>
      <c r="O21" s="178" t="s">
        <v>523</v>
      </c>
      <c r="Q21" s="178">
        <f t="shared" si="0"/>
        <v>46571</v>
      </c>
    </row>
    <row r="22" spans="1:17">
      <c r="A22" t="s">
        <v>532</v>
      </c>
      <c r="B22">
        <v>15</v>
      </c>
      <c r="D22">
        <v>7</v>
      </c>
      <c r="E22" s="179" t="s">
        <v>512</v>
      </c>
      <c r="F22" s="179"/>
      <c r="G22" s="179"/>
      <c r="N22" s="178">
        <f t="shared" si="1"/>
        <v>46372</v>
      </c>
      <c r="O22" s="178" t="s">
        <v>523</v>
      </c>
      <c r="Q22" s="178">
        <f t="shared" si="0"/>
        <v>46606</v>
      </c>
    </row>
    <row r="23" spans="1:17">
      <c r="A23" t="s">
        <v>531</v>
      </c>
      <c r="D23">
        <v>8</v>
      </c>
      <c r="E23" t="s">
        <v>513</v>
      </c>
      <c r="N23" s="178">
        <f t="shared" si="1"/>
        <v>46407</v>
      </c>
      <c r="O23" s="178" t="s">
        <v>523</v>
      </c>
      <c r="Q23" s="178">
        <f t="shared" si="0"/>
        <v>46641</v>
      </c>
    </row>
    <row r="24" spans="1:17">
      <c r="A24" t="s">
        <v>530</v>
      </c>
      <c r="D24">
        <v>9</v>
      </c>
      <c r="E24" t="s">
        <v>529</v>
      </c>
      <c r="N24" s="178">
        <f t="shared" si="1"/>
        <v>46442</v>
      </c>
      <c r="O24" s="178" t="s">
        <v>523</v>
      </c>
      <c r="Q24" s="178">
        <f t="shared" si="0"/>
        <v>46676</v>
      </c>
    </row>
    <row r="25" spans="1:17">
      <c r="A25" t="s">
        <v>528</v>
      </c>
      <c r="D25">
        <v>10</v>
      </c>
      <c r="E25" t="s">
        <v>527</v>
      </c>
      <c r="N25" s="178">
        <f t="shared" si="1"/>
        <v>46477</v>
      </c>
      <c r="O25" s="178" t="s">
        <v>523</v>
      </c>
      <c r="Q25" s="178">
        <f t="shared" si="0"/>
        <v>46711</v>
      </c>
    </row>
    <row r="26" spans="1:17">
      <c r="A26" t="s">
        <v>526</v>
      </c>
      <c r="D26">
        <v>11</v>
      </c>
      <c r="E26" t="s">
        <v>525</v>
      </c>
      <c r="N26" s="178">
        <f t="shared" si="1"/>
        <v>46512</v>
      </c>
      <c r="O26" s="178" t="s">
        <v>523</v>
      </c>
      <c r="Q26" s="178">
        <f t="shared" si="0"/>
        <v>46746</v>
      </c>
    </row>
    <row r="27" spans="1:17">
      <c r="N27" s="178">
        <f>N26+45</f>
        <v>46557</v>
      </c>
      <c r="O27" s="178" t="s">
        <v>523</v>
      </c>
      <c r="Q27" s="178"/>
    </row>
    <row r="28" spans="1:17">
      <c r="N28" s="178">
        <f>N27+45</f>
        <v>46602</v>
      </c>
      <c r="O28" s="178" t="s">
        <v>523</v>
      </c>
      <c r="Q28" s="178"/>
    </row>
    <row r="29" spans="1:17">
      <c r="M29" s="178"/>
      <c r="N29" s="178">
        <f>N28+45</f>
        <v>46647</v>
      </c>
      <c r="O29" s="178" t="s">
        <v>523</v>
      </c>
    </row>
    <row r="30" spans="1:17">
      <c r="E30" s="179"/>
      <c r="F30" t="s">
        <v>524</v>
      </c>
      <c r="N30" s="178">
        <f>N29+45</f>
        <v>46692</v>
      </c>
      <c r="O30" s="178" t="s">
        <v>523</v>
      </c>
    </row>
    <row r="31" spans="1:17">
      <c r="E31" s="179"/>
      <c r="N31" s="178">
        <f>N30+35</f>
        <v>46727</v>
      </c>
      <c r="O31" s="178" t="s">
        <v>522</v>
      </c>
    </row>
    <row r="33" spans="1:12">
      <c r="A33" t="s">
        <v>521</v>
      </c>
      <c r="F33" t="s">
        <v>520</v>
      </c>
      <c r="G33" t="s">
        <v>519</v>
      </c>
      <c r="K33" s="177">
        <v>20000</v>
      </c>
      <c r="L33" t="s">
        <v>518</v>
      </c>
    </row>
    <row r="34" spans="1:12">
      <c r="F34" t="s">
        <v>520</v>
      </c>
      <c r="G34" t="s">
        <v>519</v>
      </c>
      <c r="K34" s="177">
        <v>19946.23</v>
      </c>
      <c r="L34" t="s">
        <v>518</v>
      </c>
    </row>
    <row r="35" spans="1:12">
      <c r="F35" t="s">
        <v>132</v>
      </c>
      <c r="G35" t="s">
        <v>519</v>
      </c>
      <c r="K35" s="177">
        <v>20000</v>
      </c>
      <c r="L35" t="s">
        <v>518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8550B-F7D7-4062-8584-AA3B2BA368A8}">
  <dimension ref="A4:S23"/>
  <sheetViews>
    <sheetView topLeftCell="C1" zoomScale="80" zoomScaleNormal="80" workbookViewId="0">
      <selection activeCell="F52" sqref="F52"/>
    </sheetView>
  </sheetViews>
  <sheetFormatPr baseColWidth="10" defaultColWidth="8.83203125" defaultRowHeight="15"/>
  <cols>
    <col min="4" max="4" width="7.1640625" customWidth="1"/>
    <col min="6" max="6" width="13.1640625" customWidth="1"/>
    <col min="7" max="11" width="12.5" customWidth="1"/>
    <col min="12" max="13" width="13.1640625" customWidth="1"/>
    <col min="14" max="14" width="13" customWidth="1"/>
    <col min="15" max="16" width="13.5" customWidth="1"/>
    <col min="17" max="17" width="19.6640625" customWidth="1"/>
    <col min="18" max="18" width="17.5" customWidth="1"/>
    <col min="19" max="19" width="13.83203125" customWidth="1"/>
  </cols>
  <sheetData>
    <row r="4" spans="1:19">
      <c r="B4" t="s">
        <v>573</v>
      </c>
      <c r="C4">
        <v>2026</v>
      </c>
      <c r="D4">
        <v>2026</v>
      </c>
      <c r="F4" t="s">
        <v>10</v>
      </c>
      <c r="G4" t="s">
        <v>572</v>
      </c>
      <c r="H4" t="s">
        <v>491</v>
      </c>
      <c r="I4" t="s">
        <v>571</v>
      </c>
      <c r="J4" t="s">
        <v>570</v>
      </c>
      <c r="L4" t="s">
        <v>575</v>
      </c>
      <c r="M4" t="s">
        <v>490</v>
      </c>
      <c r="N4" t="s">
        <v>568</v>
      </c>
      <c r="O4" t="s">
        <v>567</v>
      </c>
      <c r="P4" t="s">
        <v>566</v>
      </c>
      <c r="Q4" t="s">
        <v>565</v>
      </c>
      <c r="R4" t="s">
        <v>564</v>
      </c>
      <c r="S4" t="s">
        <v>576</v>
      </c>
    </row>
    <row r="6" spans="1:19">
      <c r="A6" t="s">
        <v>577</v>
      </c>
      <c r="C6">
        <v>1</v>
      </c>
      <c r="E6" t="s">
        <v>578</v>
      </c>
      <c r="F6" t="s">
        <v>31</v>
      </c>
      <c r="G6" t="s">
        <v>579</v>
      </c>
      <c r="H6" t="s">
        <v>545</v>
      </c>
      <c r="Q6" t="s">
        <v>556</v>
      </c>
      <c r="R6" t="s">
        <v>580</v>
      </c>
      <c r="S6" t="s">
        <v>130</v>
      </c>
    </row>
    <row r="7" spans="1:19">
      <c r="C7">
        <v>2</v>
      </c>
      <c r="E7" t="s">
        <v>581</v>
      </c>
      <c r="F7" t="s">
        <v>31</v>
      </c>
      <c r="G7" t="s">
        <v>582</v>
      </c>
      <c r="H7" t="s">
        <v>545</v>
      </c>
      <c r="Q7" t="s">
        <v>556</v>
      </c>
      <c r="R7" t="s">
        <v>580</v>
      </c>
      <c r="S7" t="s">
        <v>155</v>
      </c>
    </row>
    <row r="8" spans="1:19">
      <c r="C8">
        <v>3</v>
      </c>
      <c r="E8" t="s">
        <v>583</v>
      </c>
      <c r="F8" t="s">
        <v>584</v>
      </c>
      <c r="G8" t="s">
        <v>585</v>
      </c>
      <c r="H8" t="s">
        <v>545</v>
      </c>
      <c r="L8" s="184" t="s">
        <v>586</v>
      </c>
      <c r="M8" s="185">
        <v>392755</v>
      </c>
      <c r="Q8" t="s">
        <v>587</v>
      </c>
      <c r="R8" t="s">
        <v>580</v>
      </c>
      <c r="S8" t="s">
        <v>130</v>
      </c>
    </row>
    <row r="9" spans="1:19">
      <c r="C9">
        <v>4</v>
      </c>
      <c r="E9" t="s">
        <v>588</v>
      </c>
      <c r="F9" s="186" t="s">
        <v>185</v>
      </c>
      <c r="G9" s="186" t="s">
        <v>589</v>
      </c>
      <c r="H9" t="s">
        <v>557</v>
      </c>
      <c r="L9" s="187">
        <v>45954</v>
      </c>
      <c r="M9" s="185">
        <v>29965</v>
      </c>
      <c r="Q9" t="s">
        <v>590</v>
      </c>
      <c r="R9" s="178">
        <v>46101</v>
      </c>
      <c r="S9" t="s">
        <v>130</v>
      </c>
    </row>
    <row r="10" spans="1:19">
      <c r="B10">
        <v>1</v>
      </c>
      <c r="C10">
        <v>5</v>
      </c>
      <c r="E10" s="179" t="s">
        <v>591</v>
      </c>
      <c r="F10" s="179" t="s">
        <v>132</v>
      </c>
      <c r="G10" s="179" t="s">
        <v>476</v>
      </c>
      <c r="H10" s="179" t="s">
        <v>557</v>
      </c>
      <c r="I10" s="179"/>
      <c r="J10" s="179"/>
      <c r="K10" s="179"/>
      <c r="L10" s="179" t="s">
        <v>540</v>
      </c>
      <c r="M10" s="188">
        <v>30000</v>
      </c>
      <c r="N10" s="179"/>
      <c r="O10" s="179"/>
      <c r="P10" s="179"/>
      <c r="Q10" s="179"/>
      <c r="R10" s="189">
        <v>46152</v>
      </c>
      <c r="S10" s="179"/>
    </row>
    <row r="11" spans="1:19">
      <c r="C11">
        <v>6</v>
      </c>
      <c r="E11" t="s">
        <v>592</v>
      </c>
      <c r="F11" t="s">
        <v>520</v>
      </c>
      <c r="G11" t="s">
        <v>593</v>
      </c>
      <c r="H11" t="s">
        <v>557</v>
      </c>
      <c r="L11" s="190">
        <v>46054</v>
      </c>
      <c r="M11" s="185">
        <v>39953</v>
      </c>
      <c r="R11" s="178">
        <v>46188</v>
      </c>
      <c r="S11" t="s">
        <v>130</v>
      </c>
    </row>
    <row r="12" spans="1:19">
      <c r="C12">
        <v>7</v>
      </c>
      <c r="E12" t="s">
        <v>594</v>
      </c>
      <c r="F12" t="s">
        <v>31</v>
      </c>
      <c r="G12" t="s">
        <v>595</v>
      </c>
      <c r="H12" t="s">
        <v>545</v>
      </c>
      <c r="L12" s="187">
        <v>46038</v>
      </c>
      <c r="M12" s="185">
        <v>30000</v>
      </c>
      <c r="Q12" t="s">
        <v>548</v>
      </c>
      <c r="R12" s="178">
        <v>46275</v>
      </c>
      <c r="S12" t="s">
        <v>155</v>
      </c>
    </row>
    <row r="13" spans="1:19">
      <c r="C13">
        <v>8</v>
      </c>
      <c r="E13" t="s">
        <v>596</v>
      </c>
      <c r="F13" t="s">
        <v>584</v>
      </c>
      <c r="G13" t="s">
        <v>597</v>
      </c>
      <c r="H13" t="s">
        <v>545</v>
      </c>
      <c r="L13" s="187">
        <v>46064</v>
      </c>
      <c r="M13" s="185">
        <v>29994</v>
      </c>
      <c r="R13" s="178">
        <v>46326</v>
      </c>
      <c r="S13" t="s">
        <v>155</v>
      </c>
    </row>
    <row r="14" spans="1:19">
      <c r="C14">
        <v>9</v>
      </c>
      <c r="E14" t="s">
        <v>598</v>
      </c>
      <c r="F14" t="s">
        <v>520</v>
      </c>
      <c r="G14" t="s">
        <v>599</v>
      </c>
      <c r="H14" t="s">
        <v>557</v>
      </c>
      <c r="L14" s="187">
        <v>46332</v>
      </c>
      <c r="M14" s="185">
        <v>30000</v>
      </c>
      <c r="Q14" t="s">
        <v>600</v>
      </c>
      <c r="R14" s="178">
        <v>46383</v>
      </c>
      <c r="S14" t="s">
        <v>601</v>
      </c>
    </row>
    <row r="15" spans="1:19">
      <c r="D15">
        <v>1</v>
      </c>
      <c r="E15" t="s">
        <v>602</v>
      </c>
      <c r="F15" t="s">
        <v>132</v>
      </c>
      <c r="G15" t="s">
        <v>603</v>
      </c>
      <c r="H15" t="s">
        <v>557</v>
      </c>
      <c r="L15" s="187">
        <v>46441</v>
      </c>
      <c r="M15" s="185">
        <v>30000</v>
      </c>
      <c r="O15" s="178">
        <v>46127</v>
      </c>
      <c r="P15" s="178" t="s">
        <v>604</v>
      </c>
      <c r="Q15" t="s">
        <v>605</v>
      </c>
      <c r="R15" s="178">
        <v>46433</v>
      </c>
      <c r="S15" t="s">
        <v>601</v>
      </c>
    </row>
    <row r="16" spans="1:19">
      <c r="B16">
        <v>2</v>
      </c>
      <c r="D16">
        <v>2</v>
      </c>
      <c r="E16" s="179" t="s">
        <v>606</v>
      </c>
      <c r="F16" s="179"/>
      <c r="G16" s="179" t="s">
        <v>476</v>
      </c>
      <c r="H16" s="179"/>
      <c r="I16" s="179"/>
      <c r="J16" s="179"/>
      <c r="K16" s="179"/>
      <c r="L16" s="179"/>
      <c r="M16" s="179"/>
      <c r="N16" s="179"/>
      <c r="O16" s="189">
        <v>46188</v>
      </c>
      <c r="P16" s="189" t="s">
        <v>604</v>
      </c>
      <c r="Q16" s="179"/>
      <c r="R16" s="189">
        <v>46492</v>
      </c>
      <c r="S16" s="179"/>
    </row>
    <row r="17" spans="2:19">
      <c r="B17">
        <v>3</v>
      </c>
      <c r="D17">
        <v>3</v>
      </c>
      <c r="E17" s="179" t="s">
        <v>607</v>
      </c>
      <c r="F17" s="179"/>
      <c r="G17" s="179" t="s">
        <v>476</v>
      </c>
      <c r="H17" s="179"/>
      <c r="I17" s="179"/>
      <c r="J17" s="179"/>
      <c r="K17" s="179"/>
      <c r="L17" s="179"/>
      <c r="M17" s="179"/>
      <c r="N17" s="179"/>
      <c r="O17" s="189">
        <v>46249</v>
      </c>
      <c r="P17" s="189" t="s">
        <v>604</v>
      </c>
      <c r="Q17" s="179"/>
      <c r="R17" s="189">
        <v>46553</v>
      </c>
      <c r="S17" s="179"/>
    </row>
    <row r="18" spans="2:19">
      <c r="B18">
        <v>4</v>
      </c>
      <c r="D18">
        <v>4</v>
      </c>
      <c r="E18" s="179" t="s">
        <v>608</v>
      </c>
      <c r="F18" s="179"/>
      <c r="G18" s="179" t="s">
        <v>476</v>
      </c>
      <c r="H18" s="179"/>
      <c r="I18" s="179"/>
      <c r="J18" s="179"/>
      <c r="K18" s="179"/>
      <c r="L18" s="179"/>
      <c r="M18" s="179"/>
      <c r="N18" s="179"/>
      <c r="O18" s="189">
        <v>46310</v>
      </c>
      <c r="P18" s="189" t="s">
        <v>604</v>
      </c>
      <c r="Q18" s="179"/>
      <c r="R18" s="189">
        <v>46614</v>
      </c>
      <c r="S18" s="179"/>
    </row>
    <row r="19" spans="2:19">
      <c r="B19">
        <v>5</v>
      </c>
      <c r="D19">
        <v>5</v>
      </c>
      <c r="E19" s="179" t="s">
        <v>609</v>
      </c>
      <c r="F19" s="179"/>
      <c r="G19" s="179" t="s">
        <v>476</v>
      </c>
      <c r="H19" s="179"/>
      <c r="I19" s="179"/>
      <c r="J19" s="179"/>
      <c r="K19" s="179"/>
      <c r="L19" s="179"/>
      <c r="M19" s="179"/>
      <c r="N19" s="179"/>
      <c r="O19" s="189">
        <v>46371</v>
      </c>
      <c r="P19" s="189" t="s">
        <v>604</v>
      </c>
      <c r="Q19" s="179"/>
      <c r="R19" s="189">
        <v>46675</v>
      </c>
      <c r="S19" s="179"/>
    </row>
    <row r="20" spans="2:19">
      <c r="B20">
        <v>6</v>
      </c>
      <c r="D20">
        <v>6</v>
      </c>
      <c r="E20" s="179" t="s">
        <v>610</v>
      </c>
      <c r="F20" s="179"/>
      <c r="G20" s="179" t="s">
        <v>476</v>
      </c>
      <c r="H20" s="179"/>
      <c r="I20" s="179"/>
      <c r="J20" s="179"/>
      <c r="K20" s="179"/>
      <c r="L20" s="179"/>
      <c r="M20" s="179"/>
      <c r="N20" s="179"/>
      <c r="O20" s="189">
        <v>46433</v>
      </c>
      <c r="P20" s="189" t="s">
        <v>611</v>
      </c>
      <c r="Q20" s="179"/>
      <c r="R20" s="189">
        <v>46736</v>
      </c>
      <c r="S20" s="179"/>
    </row>
    <row r="21" spans="2:19">
      <c r="F21" t="s">
        <v>31</v>
      </c>
      <c r="G21" t="s">
        <v>612</v>
      </c>
      <c r="H21" t="s">
        <v>545</v>
      </c>
      <c r="L21" s="187">
        <v>46814</v>
      </c>
      <c r="M21" s="185">
        <v>29994</v>
      </c>
    </row>
    <row r="23" spans="2:19">
      <c r="E23" s="179"/>
      <c r="F23" t="s">
        <v>613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E324-1A74-4590-A4AF-CBAFA2785DCD}">
  <dimension ref="A4:S39"/>
  <sheetViews>
    <sheetView zoomScale="150" zoomScaleNormal="150" workbookViewId="0">
      <selection activeCell="I40" sqref="I40"/>
    </sheetView>
  </sheetViews>
  <sheetFormatPr baseColWidth="10" defaultColWidth="8.83203125" defaultRowHeight="15"/>
  <cols>
    <col min="7" max="7" width="9.1640625" customWidth="1"/>
    <col min="8" max="8" width="12.5" customWidth="1"/>
    <col min="9" max="9" width="10.1640625" customWidth="1"/>
    <col min="10" max="10" width="18" customWidth="1"/>
    <col min="11" max="13" width="13.1640625" customWidth="1"/>
    <col min="14" max="14" width="11.5" customWidth="1"/>
    <col min="15" max="16" width="10.6640625" customWidth="1"/>
    <col min="17" max="17" width="16.33203125" customWidth="1"/>
    <col min="18" max="18" width="17.5" customWidth="1"/>
    <col min="19" max="19" width="13.83203125" customWidth="1"/>
  </cols>
  <sheetData>
    <row r="4" spans="1:19" ht="48">
      <c r="B4" t="s">
        <v>573</v>
      </c>
      <c r="C4">
        <v>2026</v>
      </c>
      <c r="D4">
        <v>2027</v>
      </c>
      <c r="E4" t="s">
        <v>614</v>
      </c>
      <c r="F4" t="s">
        <v>615</v>
      </c>
      <c r="G4" t="s">
        <v>10</v>
      </c>
      <c r="H4" t="s">
        <v>572</v>
      </c>
      <c r="I4" t="s">
        <v>491</v>
      </c>
      <c r="J4" t="s">
        <v>570</v>
      </c>
      <c r="K4" s="191" t="s">
        <v>616</v>
      </c>
      <c r="L4" s="191" t="s">
        <v>617</v>
      </c>
      <c r="M4" t="s">
        <v>490</v>
      </c>
      <c r="N4" t="s">
        <v>568</v>
      </c>
      <c r="O4" t="s">
        <v>567</v>
      </c>
      <c r="P4" t="s">
        <v>566</v>
      </c>
      <c r="Q4" t="s">
        <v>565</v>
      </c>
      <c r="R4" t="s">
        <v>564</v>
      </c>
      <c r="S4" t="s">
        <v>576</v>
      </c>
    </row>
    <row r="5" spans="1:19">
      <c r="E5" t="s">
        <v>545</v>
      </c>
    </row>
    <row r="6" spans="1:19">
      <c r="A6" s="192">
        <v>1260</v>
      </c>
      <c r="C6">
        <v>1</v>
      </c>
      <c r="E6" t="str">
        <f>+$E$4&amp;F6</f>
        <v>SC739</v>
      </c>
      <c r="F6">
        <v>739</v>
      </c>
      <c r="G6" t="s">
        <v>618</v>
      </c>
      <c r="H6" t="s">
        <v>619</v>
      </c>
      <c r="I6" t="s">
        <v>557</v>
      </c>
      <c r="L6" s="187">
        <v>45983</v>
      </c>
      <c r="M6" s="177">
        <v>20000</v>
      </c>
      <c r="N6" s="177">
        <v>490398.75</v>
      </c>
      <c r="R6" s="178">
        <v>46063</v>
      </c>
      <c r="S6" t="s">
        <v>155</v>
      </c>
    </row>
    <row r="7" spans="1:19">
      <c r="A7" s="192">
        <v>1260</v>
      </c>
      <c r="C7">
        <v>2</v>
      </c>
      <c r="E7" t="str">
        <f t="shared" ref="E7:E23" si="0">+$E$4&amp;F7</f>
        <v>SC730</v>
      </c>
      <c r="F7" s="180">
        <v>730</v>
      </c>
      <c r="G7" s="180" t="s">
        <v>31</v>
      </c>
      <c r="H7" s="180" t="s">
        <v>620</v>
      </c>
      <c r="I7" s="180" t="s">
        <v>545</v>
      </c>
      <c r="L7" s="187"/>
      <c r="M7" s="177"/>
      <c r="N7" s="177"/>
      <c r="Q7" t="s">
        <v>556</v>
      </c>
    </row>
    <row r="8" spans="1:19">
      <c r="A8" s="192">
        <v>1260</v>
      </c>
      <c r="C8">
        <v>3</v>
      </c>
      <c r="E8" t="str">
        <f t="shared" si="0"/>
        <v>SC731</v>
      </c>
      <c r="F8" s="180">
        <v>731</v>
      </c>
      <c r="G8" s="180" t="s">
        <v>520</v>
      </c>
      <c r="H8" s="180" t="s">
        <v>621</v>
      </c>
      <c r="I8" s="180" t="s">
        <v>557</v>
      </c>
      <c r="L8" s="187"/>
      <c r="M8" s="177"/>
      <c r="N8" s="177"/>
      <c r="Q8" t="s">
        <v>556</v>
      </c>
    </row>
    <row r="9" spans="1:19">
      <c r="A9" s="192">
        <v>1260</v>
      </c>
      <c r="C9">
        <v>4</v>
      </c>
      <c r="E9" t="str">
        <f t="shared" si="0"/>
        <v>SC770</v>
      </c>
      <c r="F9">
        <v>770</v>
      </c>
      <c r="G9" t="s">
        <v>541</v>
      </c>
      <c r="H9" t="s">
        <v>622</v>
      </c>
      <c r="I9" t="s">
        <v>557</v>
      </c>
      <c r="L9" s="187">
        <v>46120</v>
      </c>
      <c r="M9" s="177">
        <v>20000</v>
      </c>
      <c r="N9" s="177">
        <v>701085</v>
      </c>
      <c r="Q9" t="s">
        <v>623</v>
      </c>
      <c r="R9" s="178">
        <v>46173</v>
      </c>
      <c r="S9" t="s">
        <v>130</v>
      </c>
    </row>
    <row r="10" spans="1:19">
      <c r="A10" s="192">
        <v>1260</v>
      </c>
      <c r="C10">
        <v>5</v>
      </c>
      <c r="E10" t="str">
        <f t="shared" si="0"/>
        <v>SC771</v>
      </c>
      <c r="F10">
        <v>771</v>
      </c>
      <c r="G10" s="186" t="s">
        <v>31</v>
      </c>
      <c r="H10" s="186" t="s">
        <v>624</v>
      </c>
      <c r="I10" t="s">
        <v>557</v>
      </c>
      <c r="L10" s="187">
        <v>46120</v>
      </c>
      <c r="M10" s="177">
        <v>20000</v>
      </c>
      <c r="N10" s="177">
        <v>728609.27499999979</v>
      </c>
      <c r="Q10" t="s">
        <v>625</v>
      </c>
      <c r="R10" s="178">
        <v>46200</v>
      </c>
      <c r="S10" t="s">
        <v>130</v>
      </c>
    </row>
    <row r="11" spans="1:19">
      <c r="A11" s="192">
        <v>1260</v>
      </c>
      <c r="C11">
        <v>6</v>
      </c>
      <c r="E11" t="str">
        <f t="shared" si="0"/>
        <v>SC772</v>
      </c>
      <c r="F11">
        <v>772</v>
      </c>
      <c r="G11" t="s">
        <v>31</v>
      </c>
      <c r="H11" t="s">
        <v>626</v>
      </c>
      <c r="I11" t="s">
        <v>545</v>
      </c>
      <c r="L11" s="187">
        <v>46189</v>
      </c>
      <c r="M11" s="177">
        <v>20000</v>
      </c>
      <c r="N11" s="177" t="e">
        <v>#N/A</v>
      </c>
      <c r="Q11" t="s">
        <v>627</v>
      </c>
      <c r="R11" s="178">
        <v>46302</v>
      </c>
    </row>
    <row r="12" spans="1:19">
      <c r="A12" t="s">
        <v>628</v>
      </c>
      <c r="B12">
        <v>1</v>
      </c>
      <c r="C12">
        <v>7</v>
      </c>
      <c r="E12" t="str">
        <f t="shared" si="0"/>
        <v>SC776</v>
      </c>
      <c r="F12" s="180">
        <v>776</v>
      </c>
      <c r="G12" s="180" t="s">
        <v>520</v>
      </c>
      <c r="H12" s="180" t="s">
        <v>573</v>
      </c>
      <c r="I12" s="180" t="s">
        <v>557</v>
      </c>
      <c r="N12" s="177"/>
      <c r="O12" s="178">
        <v>46004</v>
      </c>
      <c r="P12" t="s">
        <v>629</v>
      </c>
      <c r="Q12" t="s">
        <v>630</v>
      </c>
      <c r="R12" s="178">
        <v>46193</v>
      </c>
      <c r="S12" t="s">
        <v>130</v>
      </c>
    </row>
    <row r="13" spans="1:19">
      <c r="A13" t="s">
        <v>631</v>
      </c>
      <c r="C13">
        <v>8</v>
      </c>
      <c r="E13" t="str">
        <f t="shared" si="0"/>
        <v>SC777</v>
      </c>
      <c r="F13">
        <v>777</v>
      </c>
      <c r="G13" t="s">
        <v>31</v>
      </c>
      <c r="H13" t="s">
        <v>632</v>
      </c>
      <c r="I13" t="s">
        <v>545</v>
      </c>
      <c r="J13" t="s">
        <v>633</v>
      </c>
      <c r="L13" s="187">
        <v>46240</v>
      </c>
      <c r="M13" s="193">
        <v>29995</v>
      </c>
      <c r="N13" s="177">
        <v>610000</v>
      </c>
      <c r="O13" s="178">
        <v>46053</v>
      </c>
      <c r="P13" t="s">
        <v>629</v>
      </c>
      <c r="Q13" t="s">
        <v>634</v>
      </c>
      <c r="R13" s="178">
        <v>46221</v>
      </c>
      <c r="S13" t="s">
        <v>155</v>
      </c>
    </row>
    <row r="14" spans="1:19">
      <c r="A14" t="s">
        <v>635</v>
      </c>
      <c r="C14">
        <v>9</v>
      </c>
      <c r="E14" t="str">
        <f t="shared" si="0"/>
        <v>SC811</v>
      </c>
      <c r="F14">
        <v>811</v>
      </c>
      <c r="H14" t="s">
        <v>636</v>
      </c>
      <c r="I14" t="s">
        <v>557</v>
      </c>
      <c r="J14" t="s">
        <v>637</v>
      </c>
      <c r="M14" s="193">
        <v>80000</v>
      </c>
      <c r="N14" s="177">
        <v>685000</v>
      </c>
      <c r="O14" s="178">
        <v>46102</v>
      </c>
      <c r="P14" t="s">
        <v>638</v>
      </c>
      <c r="R14" s="178">
        <v>46249</v>
      </c>
    </row>
    <row r="15" spans="1:19">
      <c r="A15" t="s">
        <v>639</v>
      </c>
      <c r="C15">
        <v>10</v>
      </c>
      <c r="E15" t="str">
        <f t="shared" si="0"/>
        <v>SC812</v>
      </c>
      <c r="F15">
        <v>812</v>
      </c>
      <c r="G15" t="s">
        <v>31</v>
      </c>
      <c r="H15" t="s">
        <v>640</v>
      </c>
      <c r="I15" t="s">
        <v>545</v>
      </c>
      <c r="J15" t="s">
        <v>633</v>
      </c>
      <c r="L15" s="187">
        <v>46347</v>
      </c>
      <c r="M15" s="193">
        <v>29995</v>
      </c>
      <c r="N15" s="177">
        <v>686000</v>
      </c>
      <c r="O15" s="178">
        <v>46137</v>
      </c>
      <c r="P15" t="s">
        <v>641</v>
      </c>
      <c r="R15" s="178">
        <v>46277</v>
      </c>
      <c r="S15" t="s">
        <v>601</v>
      </c>
    </row>
    <row r="16" spans="1:19">
      <c r="A16" t="s">
        <v>642</v>
      </c>
      <c r="B16">
        <v>2</v>
      </c>
      <c r="C16">
        <v>11</v>
      </c>
      <c r="E16" t="str">
        <f t="shared" si="0"/>
        <v>SC813</v>
      </c>
      <c r="F16" s="180">
        <v>813</v>
      </c>
      <c r="G16" s="180" t="s">
        <v>541</v>
      </c>
      <c r="H16" s="180"/>
      <c r="I16" s="180"/>
      <c r="J16" t="s">
        <v>637</v>
      </c>
      <c r="O16" s="178">
        <v>46165</v>
      </c>
      <c r="P16" t="s">
        <v>641</v>
      </c>
      <c r="Q16" t="s">
        <v>224</v>
      </c>
      <c r="R16" s="178">
        <v>46305</v>
      </c>
      <c r="S16" t="s">
        <v>601</v>
      </c>
    </row>
    <row r="17" spans="1:18">
      <c r="A17" t="s">
        <v>643</v>
      </c>
      <c r="B17">
        <v>3</v>
      </c>
      <c r="C17">
        <v>12</v>
      </c>
      <c r="E17" t="str">
        <f t="shared" si="0"/>
        <v>SC814</v>
      </c>
      <c r="F17" s="179">
        <v>814</v>
      </c>
      <c r="G17" s="179"/>
      <c r="H17" s="179" t="s">
        <v>573</v>
      </c>
      <c r="I17" s="179"/>
      <c r="O17" s="178">
        <v>46193</v>
      </c>
      <c r="P17" t="s">
        <v>641</v>
      </c>
      <c r="R17" s="178">
        <v>46333</v>
      </c>
    </row>
    <row r="18" spans="1:18">
      <c r="A18" t="s">
        <v>644</v>
      </c>
      <c r="B18">
        <v>4</v>
      </c>
      <c r="C18">
        <v>13</v>
      </c>
      <c r="E18" t="str">
        <f t="shared" si="0"/>
        <v>SC815</v>
      </c>
      <c r="F18" s="180">
        <v>815</v>
      </c>
      <c r="G18" s="180"/>
      <c r="H18" s="180" t="s">
        <v>645</v>
      </c>
      <c r="I18" s="180"/>
      <c r="O18" s="178">
        <v>46221</v>
      </c>
      <c r="P18" t="s">
        <v>641</v>
      </c>
      <c r="R18" s="178">
        <v>46369</v>
      </c>
    </row>
    <row r="19" spans="1:18">
      <c r="A19" t="s">
        <v>646</v>
      </c>
      <c r="B19">
        <v>5</v>
      </c>
      <c r="E19" t="str">
        <f t="shared" si="0"/>
        <v>SC816</v>
      </c>
      <c r="F19" s="179">
        <v>816</v>
      </c>
      <c r="G19" s="179"/>
      <c r="H19" s="179" t="s">
        <v>573</v>
      </c>
      <c r="I19" s="179"/>
      <c r="O19" s="178">
        <v>46249</v>
      </c>
      <c r="P19" t="s">
        <v>641</v>
      </c>
      <c r="R19" s="178">
        <v>46397</v>
      </c>
    </row>
    <row r="20" spans="1:18">
      <c r="A20" t="s">
        <v>647</v>
      </c>
      <c r="B20">
        <v>6</v>
      </c>
      <c r="E20" t="str">
        <f t="shared" si="0"/>
        <v>SC817</v>
      </c>
      <c r="F20" s="179">
        <v>817</v>
      </c>
      <c r="G20" s="179"/>
      <c r="H20" s="179" t="s">
        <v>573</v>
      </c>
      <c r="I20" s="179"/>
      <c r="O20" s="178">
        <v>46277</v>
      </c>
      <c r="P20" t="s">
        <v>641</v>
      </c>
      <c r="R20" s="178">
        <v>46425</v>
      </c>
    </row>
    <row r="21" spans="1:18">
      <c r="A21" t="s">
        <v>648</v>
      </c>
      <c r="B21">
        <v>7</v>
      </c>
      <c r="E21" t="str">
        <f t="shared" si="0"/>
        <v>SC818</v>
      </c>
      <c r="F21" s="179">
        <v>818</v>
      </c>
      <c r="G21" s="179"/>
      <c r="H21" s="179" t="s">
        <v>573</v>
      </c>
      <c r="I21" s="179"/>
      <c r="O21" s="178">
        <v>46305</v>
      </c>
      <c r="P21" t="s">
        <v>641</v>
      </c>
      <c r="R21" s="178">
        <v>46467</v>
      </c>
    </row>
    <row r="22" spans="1:18">
      <c r="A22" t="s">
        <v>649</v>
      </c>
      <c r="B22">
        <v>8</v>
      </c>
      <c r="E22" t="str">
        <f t="shared" si="0"/>
        <v>SC819</v>
      </c>
      <c r="F22" s="179">
        <v>819</v>
      </c>
      <c r="G22" s="179"/>
      <c r="H22" s="179" t="s">
        <v>573</v>
      </c>
      <c r="I22" s="179"/>
      <c r="O22" s="178">
        <v>46334</v>
      </c>
      <c r="P22" t="s">
        <v>641</v>
      </c>
      <c r="R22" s="178">
        <v>46495</v>
      </c>
    </row>
    <row r="23" spans="1:18">
      <c r="A23" t="s">
        <v>650</v>
      </c>
      <c r="B23">
        <v>9</v>
      </c>
      <c r="E23" t="str">
        <f t="shared" si="0"/>
        <v>SC820</v>
      </c>
      <c r="F23" s="179">
        <v>820</v>
      </c>
      <c r="G23" s="179"/>
      <c r="H23" s="179" t="s">
        <v>573</v>
      </c>
      <c r="I23" s="179"/>
      <c r="O23" s="178">
        <v>46362</v>
      </c>
      <c r="P23" t="s">
        <v>641</v>
      </c>
      <c r="R23" s="178">
        <v>46523</v>
      </c>
    </row>
    <row r="24" spans="1:18">
      <c r="A24" t="s">
        <v>786</v>
      </c>
      <c r="E24" t="s">
        <v>229</v>
      </c>
      <c r="F24" s="179">
        <v>821</v>
      </c>
      <c r="G24" s="179"/>
      <c r="H24" s="179" t="s">
        <v>573</v>
      </c>
      <c r="I24" s="179"/>
      <c r="P24" t="s">
        <v>641</v>
      </c>
    </row>
    <row r="25" spans="1:18">
      <c r="A25" t="s">
        <v>787</v>
      </c>
      <c r="E25" t="s">
        <v>231</v>
      </c>
      <c r="F25" s="179">
        <v>822</v>
      </c>
      <c r="G25" s="179"/>
      <c r="H25" s="179" t="s">
        <v>573</v>
      </c>
      <c r="I25" s="179"/>
      <c r="P25" t="s">
        <v>641</v>
      </c>
    </row>
    <row r="26" spans="1:18">
      <c r="A26" t="s">
        <v>788</v>
      </c>
      <c r="E26" t="s">
        <v>432</v>
      </c>
      <c r="F26" s="179">
        <v>823</v>
      </c>
      <c r="G26" s="179"/>
      <c r="H26" s="179" t="s">
        <v>573</v>
      </c>
      <c r="I26" s="179"/>
      <c r="O26" s="178">
        <v>46494</v>
      </c>
      <c r="P26" t="s">
        <v>641</v>
      </c>
      <c r="R26" s="178">
        <v>46642</v>
      </c>
    </row>
    <row r="27" spans="1:18">
      <c r="A27" t="s">
        <v>789</v>
      </c>
      <c r="E27" t="s">
        <v>433</v>
      </c>
      <c r="F27" s="179">
        <v>824</v>
      </c>
      <c r="G27" t="s">
        <v>790</v>
      </c>
      <c r="H27" t="s">
        <v>711</v>
      </c>
      <c r="K27" s="178"/>
      <c r="L27" s="178"/>
      <c r="M27" s="194"/>
    </row>
    <row r="28" spans="1:18">
      <c r="K28" s="178"/>
      <c r="L28" s="178"/>
      <c r="M28" s="194"/>
    </row>
    <row r="29" spans="1:18">
      <c r="K29" s="178"/>
      <c r="L29" s="178"/>
      <c r="M29" s="194"/>
    </row>
    <row r="30" spans="1:18">
      <c r="M30" s="194"/>
    </row>
    <row r="31" spans="1:18">
      <c r="K31" s="178"/>
      <c r="L31" s="178"/>
      <c r="M31" s="194"/>
    </row>
    <row r="32" spans="1:18">
      <c r="M32" s="194"/>
    </row>
    <row r="33" spans="11:13">
      <c r="K33" s="178"/>
      <c r="L33" s="178"/>
      <c r="M33" s="194"/>
    </row>
    <row r="34" spans="11:13">
      <c r="K34" s="178"/>
      <c r="L34" s="178"/>
      <c r="M34" s="194"/>
    </row>
    <row r="35" spans="11:13">
      <c r="K35" s="178"/>
      <c r="L35" s="178"/>
      <c r="M35" s="194"/>
    </row>
    <row r="36" spans="11:13">
      <c r="K36" s="178"/>
      <c r="L36" s="178"/>
      <c r="M36" s="194"/>
    </row>
    <row r="37" spans="11:13">
      <c r="M37" s="194"/>
    </row>
    <row r="38" spans="11:13">
      <c r="M38" s="194"/>
    </row>
    <row r="39" spans="11:13">
      <c r="M39" s="194"/>
    </row>
  </sheetData>
  <phoneticPr fontId="3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152E-A9D7-43AE-95BD-D2D9A9B0B956}">
  <dimension ref="A3:Y74"/>
  <sheetViews>
    <sheetView zoomScaleNormal="100" workbookViewId="0">
      <selection activeCell="L47" sqref="L47"/>
    </sheetView>
  </sheetViews>
  <sheetFormatPr baseColWidth="10" defaultColWidth="8.83203125" defaultRowHeight="15"/>
  <cols>
    <col min="5" max="5" width="21.33203125" bestFit="1" customWidth="1"/>
    <col min="6" max="6" width="30.33203125" customWidth="1"/>
    <col min="7" max="7" width="30.33203125" hidden="1" customWidth="1"/>
    <col min="8" max="9" width="12.5" customWidth="1"/>
    <col min="10" max="10" width="19.5" customWidth="1"/>
    <col min="11" max="11" width="20.1640625" bestFit="1" customWidth="1"/>
    <col min="12" max="12" width="13.1640625" customWidth="1"/>
    <col min="13" max="13" width="13" customWidth="1"/>
    <col min="14" max="14" width="38.83203125" customWidth="1"/>
    <col min="15" max="15" width="13.5" customWidth="1"/>
    <col min="16" max="16" width="16.33203125" customWidth="1"/>
    <col min="17" max="17" width="24.1640625" customWidth="1"/>
    <col min="18" max="18" width="16.1640625" customWidth="1"/>
    <col min="19" max="19" width="17.6640625" customWidth="1"/>
    <col min="20" max="20" width="13.5" customWidth="1"/>
  </cols>
  <sheetData>
    <row r="3" spans="1:20">
      <c r="B3" t="s">
        <v>651</v>
      </c>
    </row>
    <row r="6" spans="1:20">
      <c r="B6">
        <v>2026</v>
      </c>
      <c r="C6">
        <v>2027</v>
      </c>
      <c r="D6" t="s">
        <v>615</v>
      </c>
      <c r="E6" t="s">
        <v>10</v>
      </c>
      <c r="F6" t="s">
        <v>572</v>
      </c>
      <c r="H6" t="s">
        <v>491</v>
      </c>
      <c r="I6" t="s">
        <v>571</v>
      </c>
      <c r="J6" t="s">
        <v>616</v>
      </c>
      <c r="K6" t="s">
        <v>575</v>
      </c>
      <c r="L6" t="s">
        <v>490</v>
      </c>
      <c r="M6" t="s">
        <v>568</v>
      </c>
      <c r="N6" s="184" t="s">
        <v>567</v>
      </c>
      <c r="O6" t="s">
        <v>566</v>
      </c>
      <c r="P6" t="s">
        <v>565</v>
      </c>
      <c r="Q6" t="s">
        <v>564</v>
      </c>
      <c r="R6" t="s">
        <v>652</v>
      </c>
    </row>
    <row r="9" spans="1:20">
      <c r="A9" t="s">
        <v>234</v>
      </c>
      <c r="B9">
        <v>1</v>
      </c>
      <c r="E9" t="s">
        <v>31</v>
      </c>
      <c r="F9" t="s">
        <v>653</v>
      </c>
      <c r="H9" t="s">
        <v>545</v>
      </c>
      <c r="I9" t="s">
        <v>654</v>
      </c>
      <c r="K9" s="187">
        <v>45532</v>
      </c>
      <c r="L9" s="185">
        <v>19994</v>
      </c>
      <c r="M9" s="195">
        <v>840917.1050000001</v>
      </c>
      <c r="P9" t="s">
        <v>655</v>
      </c>
    </row>
    <row r="10" spans="1:20">
      <c r="B10">
        <v>2</v>
      </c>
      <c r="E10" t="s">
        <v>312</v>
      </c>
      <c r="F10" t="s">
        <v>656</v>
      </c>
      <c r="H10" t="s">
        <v>545</v>
      </c>
      <c r="I10" t="s">
        <v>654</v>
      </c>
      <c r="K10" s="187">
        <v>46025</v>
      </c>
      <c r="L10" s="185">
        <v>39985.46</v>
      </c>
      <c r="M10" s="195">
        <v>896706.93500000006</v>
      </c>
      <c r="P10" t="s">
        <v>657</v>
      </c>
      <c r="Q10" s="178">
        <v>46043</v>
      </c>
    </row>
    <row r="11" spans="1:20">
      <c r="B11">
        <v>3</v>
      </c>
      <c r="D11">
        <v>637</v>
      </c>
      <c r="E11" t="s">
        <v>520</v>
      </c>
      <c r="F11" t="s">
        <v>658</v>
      </c>
      <c r="H11" t="s">
        <v>557</v>
      </c>
      <c r="I11" t="s">
        <v>654</v>
      </c>
      <c r="K11" s="187">
        <v>46039</v>
      </c>
      <c r="L11" s="185">
        <v>40000</v>
      </c>
      <c r="M11" s="195">
        <v>1019168.36</v>
      </c>
      <c r="N11" s="178">
        <v>45877</v>
      </c>
      <c r="P11" t="s">
        <v>655</v>
      </c>
      <c r="Q11" s="178">
        <v>46060</v>
      </c>
      <c r="R11" t="s">
        <v>130</v>
      </c>
      <c r="S11" s="178"/>
    </row>
    <row r="12" spans="1:20">
      <c r="B12">
        <v>4</v>
      </c>
      <c r="D12" s="179">
        <v>635</v>
      </c>
      <c r="E12" s="179"/>
      <c r="F12" s="179" t="s">
        <v>573</v>
      </c>
      <c r="G12" s="179"/>
      <c r="H12" s="179" t="s">
        <v>545</v>
      </c>
      <c r="I12" s="179" t="s">
        <v>654</v>
      </c>
      <c r="J12" s="179"/>
      <c r="K12" s="196"/>
      <c r="L12" s="188"/>
      <c r="M12" s="179"/>
      <c r="N12" s="179"/>
      <c r="O12" s="179"/>
      <c r="P12" s="179" t="s">
        <v>655</v>
      </c>
      <c r="Q12" s="189">
        <v>46173</v>
      </c>
      <c r="R12" s="186"/>
    </row>
    <row r="13" spans="1:20">
      <c r="B13">
        <v>5</v>
      </c>
      <c r="D13">
        <v>638</v>
      </c>
      <c r="E13" s="186" t="s">
        <v>132</v>
      </c>
      <c r="F13" s="186" t="s">
        <v>659</v>
      </c>
      <c r="G13" s="186"/>
      <c r="H13" t="s">
        <v>557</v>
      </c>
      <c r="I13" t="s">
        <v>654</v>
      </c>
      <c r="K13" s="187">
        <v>46090</v>
      </c>
      <c r="L13" s="185">
        <v>30000</v>
      </c>
      <c r="M13" s="195">
        <v>721275.6</v>
      </c>
      <c r="N13" s="178">
        <v>45889</v>
      </c>
      <c r="Q13" s="178">
        <v>46102</v>
      </c>
      <c r="R13" t="s">
        <v>660</v>
      </c>
      <c r="S13" s="178"/>
    </row>
    <row r="14" spans="1:20">
      <c r="B14">
        <v>6</v>
      </c>
      <c r="D14">
        <v>639</v>
      </c>
      <c r="E14" t="s">
        <v>132</v>
      </c>
      <c r="F14" t="s">
        <v>661</v>
      </c>
      <c r="H14" t="s">
        <v>557</v>
      </c>
      <c r="I14" t="s">
        <v>654</v>
      </c>
      <c r="K14" s="187">
        <v>46137</v>
      </c>
      <c r="L14" s="185">
        <v>40000</v>
      </c>
      <c r="M14" s="195">
        <v>819504.875</v>
      </c>
      <c r="N14" s="178">
        <v>45910</v>
      </c>
      <c r="Q14" s="178">
        <v>46123</v>
      </c>
      <c r="R14" t="s">
        <v>660</v>
      </c>
      <c r="S14" s="178"/>
    </row>
    <row r="15" spans="1:20" ht="18" customHeight="1">
      <c r="B15">
        <v>7</v>
      </c>
      <c r="D15">
        <v>650</v>
      </c>
      <c r="E15" t="s">
        <v>31</v>
      </c>
      <c r="F15" t="s">
        <v>662</v>
      </c>
      <c r="H15" t="s">
        <v>545</v>
      </c>
      <c r="I15" t="s">
        <v>654</v>
      </c>
      <c r="K15" s="187">
        <v>46144</v>
      </c>
      <c r="L15" s="185">
        <v>30092</v>
      </c>
      <c r="M15" s="195">
        <v>907469.61500000011</v>
      </c>
      <c r="N15" s="178">
        <v>46004</v>
      </c>
      <c r="O15" t="s">
        <v>629</v>
      </c>
      <c r="Q15" s="178">
        <v>46158</v>
      </c>
      <c r="R15" t="s">
        <v>130</v>
      </c>
      <c r="S15" s="178"/>
      <c r="T15" s="178"/>
    </row>
    <row r="16" spans="1:20">
      <c r="B16">
        <v>8</v>
      </c>
      <c r="D16">
        <v>651</v>
      </c>
      <c r="E16" t="s">
        <v>132</v>
      </c>
      <c r="F16" t="s">
        <v>663</v>
      </c>
      <c r="H16" t="s">
        <v>557</v>
      </c>
      <c r="I16" t="s">
        <v>654</v>
      </c>
      <c r="K16" s="187">
        <v>46158</v>
      </c>
      <c r="L16" s="185">
        <v>40000</v>
      </c>
      <c r="M16" s="195">
        <v>944016.34</v>
      </c>
      <c r="N16" s="178">
        <v>46053</v>
      </c>
      <c r="O16" t="s">
        <v>629</v>
      </c>
      <c r="Q16" s="178">
        <v>46186</v>
      </c>
      <c r="R16" t="s">
        <v>130</v>
      </c>
      <c r="S16" s="178"/>
      <c r="T16" s="178"/>
    </row>
    <row r="17" spans="2:20">
      <c r="B17">
        <v>9</v>
      </c>
      <c r="D17">
        <v>652</v>
      </c>
      <c r="E17" t="s">
        <v>132</v>
      </c>
      <c r="F17" t="s">
        <v>664</v>
      </c>
      <c r="H17" t="s">
        <v>557</v>
      </c>
      <c r="I17" t="s">
        <v>654</v>
      </c>
      <c r="K17" s="187">
        <v>46223</v>
      </c>
      <c r="L17" s="185">
        <v>40000</v>
      </c>
      <c r="M17" s="195">
        <v>898446.875</v>
      </c>
      <c r="N17" s="178">
        <v>46102</v>
      </c>
      <c r="O17" t="s">
        <v>638</v>
      </c>
      <c r="Q17" s="178">
        <v>46207</v>
      </c>
      <c r="R17" t="s">
        <v>660</v>
      </c>
      <c r="S17" s="178"/>
      <c r="T17" s="178"/>
    </row>
    <row r="18" spans="2:20">
      <c r="B18">
        <v>10</v>
      </c>
      <c r="D18">
        <v>653</v>
      </c>
      <c r="E18" t="s">
        <v>520</v>
      </c>
      <c r="F18" t="s">
        <v>665</v>
      </c>
      <c r="H18" t="s">
        <v>557</v>
      </c>
      <c r="I18" t="s">
        <v>654</v>
      </c>
      <c r="K18" s="187">
        <v>46249</v>
      </c>
      <c r="L18" s="185">
        <v>40000</v>
      </c>
      <c r="M18" s="195">
        <v>1037355.25</v>
      </c>
      <c r="N18" s="178">
        <v>46137</v>
      </c>
      <c r="O18" t="s">
        <v>666</v>
      </c>
      <c r="Q18" s="178">
        <v>46235</v>
      </c>
      <c r="R18" t="s">
        <v>660</v>
      </c>
      <c r="S18" s="178"/>
      <c r="T18" s="178"/>
    </row>
    <row r="19" spans="2:20">
      <c r="B19">
        <v>11</v>
      </c>
      <c r="D19">
        <v>655</v>
      </c>
      <c r="E19" t="s">
        <v>31</v>
      </c>
      <c r="F19" t="s">
        <v>667</v>
      </c>
      <c r="H19" t="s">
        <v>545</v>
      </c>
      <c r="I19" t="s">
        <v>654</v>
      </c>
      <c r="K19" s="187">
        <v>46298</v>
      </c>
      <c r="L19" s="185">
        <v>40006</v>
      </c>
      <c r="M19" s="195">
        <v>990200.99000000011</v>
      </c>
      <c r="N19" s="178">
        <v>46193</v>
      </c>
      <c r="O19" t="s">
        <v>666</v>
      </c>
      <c r="Q19" s="178">
        <v>46333</v>
      </c>
      <c r="R19" t="s">
        <v>130</v>
      </c>
      <c r="T19" s="178"/>
    </row>
    <row r="20" spans="2:20">
      <c r="B20">
        <v>12</v>
      </c>
      <c r="D20">
        <v>658</v>
      </c>
      <c r="E20" t="s">
        <v>618</v>
      </c>
      <c r="F20" t="s">
        <v>375</v>
      </c>
      <c r="H20" t="s">
        <v>668</v>
      </c>
      <c r="I20" t="s">
        <v>654</v>
      </c>
      <c r="K20" s="187">
        <v>46383</v>
      </c>
      <c r="L20" s="185">
        <v>40000</v>
      </c>
      <c r="M20" s="195">
        <v>731156.125</v>
      </c>
      <c r="N20" s="178">
        <v>46277</v>
      </c>
      <c r="O20" t="s">
        <v>666</v>
      </c>
      <c r="Q20" s="178">
        <v>46375</v>
      </c>
      <c r="R20" t="s">
        <v>660</v>
      </c>
      <c r="T20" s="178"/>
    </row>
    <row r="21" spans="2:20">
      <c r="C21">
        <v>1</v>
      </c>
      <c r="D21">
        <v>659</v>
      </c>
      <c r="E21" t="s">
        <v>618</v>
      </c>
      <c r="F21" t="s">
        <v>669</v>
      </c>
      <c r="H21" t="s">
        <v>557</v>
      </c>
      <c r="I21" t="s">
        <v>654</v>
      </c>
      <c r="K21" s="187">
        <v>46411</v>
      </c>
      <c r="L21" s="185">
        <v>40000</v>
      </c>
      <c r="M21" s="195">
        <v>611625</v>
      </c>
      <c r="N21" s="178">
        <v>46144</v>
      </c>
      <c r="O21" t="s">
        <v>666</v>
      </c>
      <c r="Q21" s="178">
        <v>46400</v>
      </c>
      <c r="T21" s="178"/>
    </row>
    <row r="22" spans="2:20">
      <c r="C22">
        <v>2</v>
      </c>
      <c r="D22">
        <v>680</v>
      </c>
      <c r="E22" t="s">
        <v>31</v>
      </c>
      <c r="F22" t="s">
        <v>380</v>
      </c>
      <c r="H22" t="s">
        <v>545</v>
      </c>
      <c r="I22" t="s">
        <v>654</v>
      </c>
      <c r="K22" s="187">
        <v>46459</v>
      </c>
      <c r="L22" s="185">
        <v>39994</v>
      </c>
      <c r="M22" s="195">
        <v>810064.75</v>
      </c>
      <c r="N22" s="178">
        <v>46172</v>
      </c>
      <c r="O22" t="s">
        <v>666</v>
      </c>
      <c r="Q22" s="178">
        <v>46459</v>
      </c>
      <c r="T22" s="178"/>
    </row>
    <row r="23" spans="2:20">
      <c r="C23">
        <v>3</v>
      </c>
      <c r="D23">
        <v>684</v>
      </c>
      <c r="E23" t="s">
        <v>520</v>
      </c>
      <c r="F23" s="197" t="s">
        <v>670</v>
      </c>
      <c r="G23" s="197" t="s">
        <v>521</v>
      </c>
      <c r="H23" t="s">
        <v>545</v>
      </c>
      <c r="I23" t="s">
        <v>654</v>
      </c>
      <c r="K23" s="187">
        <v>46556</v>
      </c>
      <c r="L23" s="185">
        <v>39956.5</v>
      </c>
      <c r="M23" s="195">
        <v>664125</v>
      </c>
      <c r="N23" s="178">
        <v>46284</v>
      </c>
      <c r="O23" t="s">
        <v>666</v>
      </c>
      <c r="Q23" s="178">
        <v>46501</v>
      </c>
      <c r="T23" s="178"/>
    </row>
    <row r="24" spans="2:20">
      <c r="C24">
        <v>4</v>
      </c>
      <c r="D24">
        <v>685</v>
      </c>
      <c r="E24" t="s">
        <v>520</v>
      </c>
      <c r="F24" t="s">
        <v>386</v>
      </c>
      <c r="H24" t="s">
        <v>545</v>
      </c>
      <c r="I24" t="s">
        <v>654</v>
      </c>
      <c r="K24" s="187">
        <v>46587</v>
      </c>
      <c r="L24" s="185">
        <v>39956.5</v>
      </c>
      <c r="M24" s="195">
        <v>861327.875</v>
      </c>
      <c r="N24" s="178">
        <v>46312</v>
      </c>
      <c r="O24" t="s">
        <v>666</v>
      </c>
      <c r="Q24" s="178">
        <v>46543</v>
      </c>
      <c r="T24" s="178"/>
    </row>
    <row r="25" spans="2:20">
      <c r="C25">
        <v>5</v>
      </c>
      <c r="D25">
        <v>688</v>
      </c>
      <c r="E25" t="s">
        <v>31</v>
      </c>
      <c r="F25" t="s">
        <v>671</v>
      </c>
      <c r="H25" t="s">
        <v>545</v>
      </c>
      <c r="I25" t="s">
        <v>654</v>
      </c>
      <c r="K25" s="187">
        <v>46684</v>
      </c>
      <c r="L25" s="185">
        <v>40000</v>
      </c>
      <c r="M25" s="195">
        <v>938138</v>
      </c>
      <c r="N25" s="178"/>
      <c r="O25" t="s">
        <v>666</v>
      </c>
      <c r="Q25" s="178">
        <v>46585</v>
      </c>
      <c r="T25" s="178"/>
    </row>
    <row r="26" spans="2:20">
      <c r="C26">
        <v>6</v>
      </c>
      <c r="D26">
        <v>687</v>
      </c>
      <c r="E26" t="s">
        <v>162</v>
      </c>
      <c r="F26" t="s">
        <v>389</v>
      </c>
      <c r="H26" t="s">
        <v>545</v>
      </c>
      <c r="I26" t="s">
        <v>654</v>
      </c>
      <c r="K26" s="187">
        <v>46718</v>
      </c>
      <c r="L26" s="185">
        <v>40000</v>
      </c>
      <c r="M26" s="195">
        <v>759000</v>
      </c>
      <c r="N26" s="178">
        <v>46369</v>
      </c>
      <c r="O26" t="s">
        <v>666</v>
      </c>
      <c r="Q26" s="178">
        <v>46627</v>
      </c>
      <c r="T26" s="178"/>
    </row>
    <row r="27" spans="2:20">
      <c r="C27">
        <v>7</v>
      </c>
      <c r="D27">
        <v>682</v>
      </c>
      <c r="E27" s="179"/>
      <c r="F27" s="179" t="s">
        <v>573</v>
      </c>
      <c r="G27" s="179"/>
      <c r="H27" s="179"/>
      <c r="I27" s="179" t="s">
        <v>654</v>
      </c>
      <c r="J27" s="179"/>
      <c r="K27" s="196"/>
      <c r="L27" s="188"/>
      <c r="M27" s="179"/>
      <c r="N27" s="189">
        <v>46228</v>
      </c>
      <c r="O27" s="179" t="s">
        <v>666</v>
      </c>
      <c r="P27" s="179"/>
      <c r="Q27" s="189">
        <v>46669</v>
      </c>
      <c r="T27" s="178"/>
    </row>
    <row r="28" spans="2:20">
      <c r="C28">
        <v>8</v>
      </c>
      <c r="D28">
        <v>683</v>
      </c>
      <c r="E28" s="179"/>
      <c r="F28" s="179" t="s">
        <v>573</v>
      </c>
      <c r="G28" s="179"/>
      <c r="H28" s="179"/>
      <c r="I28" s="179" t="s">
        <v>654</v>
      </c>
      <c r="J28" s="179"/>
      <c r="K28" s="196"/>
      <c r="L28" s="188"/>
      <c r="M28" s="179"/>
      <c r="N28" s="189">
        <v>46246</v>
      </c>
      <c r="O28" s="179" t="s">
        <v>666</v>
      </c>
      <c r="P28" s="179"/>
      <c r="Q28" s="189">
        <v>46711</v>
      </c>
      <c r="T28" s="178"/>
    </row>
    <row r="29" spans="2:20">
      <c r="C29">
        <v>9</v>
      </c>
      <c r="D29">
        <v>689</v>
      </c>
      <c r="E29" t="s">
        <v>31</v>
      </c>
      <c r="F29" t="s">
        <v>415</v>
      </c>
      <c r="H29" t="s">
        <v>545</v>
      </c>
      <c r="I29" t="s">
        <v>654</v>
      </c>
      <c r="K29" s="187">
        <v>46794</v>
      </c>
      <c r="L29" s="198">
        <v>40000</v>
      </c>
      <c r="M29" s="195">
        <v>664125</v>
      </c>
      <c r="O29" t="s">
        <v>666</v>
      </c>
      <c r="Q29" s="178">
        <v>46752</v>
      </c>
      <c r="T29" s="178"/>
    </row>
    <row r="30" spans="2:20">
      <c r="Q30" s="178"/>
      <c r="T30" s="178"/>
    </row>
    <row r="31" spans="2:20">
      <c r="Q31" s="178"/>
      <c r="T31" s="178"/>
    </row>
    <row r="32" spans="2:20">
      <c r="Q32" s="178"/>
      <c r="T32" s="178"/>
    </row>
    <row r="33" spans="4:25">
      <c r="Q33" s="178"/>
      <c r="S33" s="178"/>
      <c r="T33" s="178"/>
    </row>
    <row r="34" spans="4:25">
      <c r="N34" s="178"/>
      <c r="Q34" s="178"/>
      <c r="S34" s="178"/>
      <c r="T34" s="178"/>
    </row>
    <row r="37" spans="4:25">
      <c r="D37" s="199"/>
      <c r="J37" s="200"/>
      <c r="K37" s="201"/>
      <c r="L37" s="185"/>
      <c r="N37" s="202"/>
      <c r="R37" s="203"/>
      <c r="S37" s="203"/>
      <c r="T37" s="203"/>
      <c r="U37" s="203"/>
      <c r="V37" s="203"/>
      <c r="W37" s="203"/>
      <c r="X37" s="203"/>
      <c r="Y37" s="203"/>
    </row>
    <row r="38" spans="4:25">
      <c r="D38" s="199"/>
      <c r="J38" s="200"/>
      <c r="K38" s="201"/>
      <c r="L38" s="185"/>
      <c r="N38" s="202"/>
      <c r="R38" s="203"/>
      <c r="S38" s="203"/>
      <c r="T38" s="203"/>
      <c r="U38" s="203"/>
      <c r="V38" s="203"/>
      <c r="W38" s="203"/>
      <c r="X38" s="203"/>
      <c r="Y38" s="203"/>
    </row>
    <row r="39" spans="4:25">
      <c r="D39" s="199"/>
      <c r="J39" s="200"/>
      <c r="K39" s="201"/>
      <c r="L39" s="185"/>
      <c r="N39" s="202"/>
      <c r="R39" s="203"/>
      <c r="S39" s="203"/>
      <c r="T39" s="203"/>
      <c r="U39" s="203"/>
      <c r="V39" s="203"/>
      <c r="W39" s="203"/>
      <c r="X39" s="203"/>
      <c r="Y39" s="203"/>
    </row>
    <row r="40" spans="4:25">
      <c r="D40" s="199"/>
      <c r="J40" s="200"/>
      <c r="K40" s="201"/>
      <c r="L40" s="185"/>
      <c r="N40" s="204"/>
      <c r="R40" s="203"/>
      <c r="S40" s="203"/>
      <c r="T40" s="203"/>
      <c r="U40" s="203"/>
      <c r="V40" s="203"/>
      <c r="W40" s="203"/>
      <c r="X40" s="203"/>
      <c r="Y40" s="203"/>
    </row>
    <row r="41" spans="4:25">
      <c r="D41" s="199"/>
      <c r="J41" s="200"/>
      <c r="K41" s="201"/>
      <c r="L41" s="185"/>
      <c r="N41" s="202"/>
      <c r="R41" s="203"/>
      <c r="S41" s="203"/>
      <c r="T41" s="203"/>
      <c r="U41" s="203"/>
      <c r="V41" s="203"/>
      <c r="W41" s="203"/>
      <c r="X41" s="203"/>
      <c r="Y41" s="203"/>
    </row>
    <row r="42" spans="4:25">
      <c r="D42" s="199"/>
      <c r="J42" s="200"/>
      <c r="K42" s="201"/>
      <c r="L42" s="185"/>
      <c r="N42" s="202"/>
      <c r="R42" s="203"/>
      <c r="S42" s="203"/>
      <c r="T42" s="203"/>
      <c r="U42" s="203"/>
      <c r="V42" s="203"/>
      <c r="W42" s="203"/>
      <c r="X42" s="203"/>
      <c r="Y42" s="203"/>
    </row>
    <row r="43" spans="4:25">
      <c r="D43" s="199"/>
      <c r="J43" s="200"/>
      <c r="K43" s="201"/>
      <c r="L43" s="185"/>
      <c r="N43" s="204"/>
      <c r="R43" s="203"/>
      <c r="S43" s="203"/>
      <c r="T43" s="203"/>
      <c r="U43" s="203"/>
      <c r="V43" s="203"/>
      <c r="W43" s="203"/>
      <c r="X43" s="203"/>
      <c r="Y43" s="203"/>
    </row>
    <row r="44" spans="4:25">
      <c r="D44" s="199"/>
      <c r="J44" s="200"/>
      <c r="K44" s="201"/>
      <c r="L44" s="185"/>
      <c r="N44" s="204"/>
      <c r="R44" s="203"/>
      <c r="S44" s="203"/>
      <c r="T44" s="203"/>
      <c r="U44" s="203"/>
      <c r="V44" s="203"/>
      <c r="W44" s="203"/>
      <c r="X44" s="203"/>
      <c r="Y44" s="203"/>
    </row>
    <row r="45" spans="4:25">
      <c r="D45" s="199"/>
      <c r="J45" s="200"/>
      <c r="K45" s="201"/>
      <c r="L45" s="185"/>
      <c r="N45" s="202"/>
      <c r="R45" s="203"/>
      <c r="S45" s="203"/>
      <c r="T45" s="203"/>
      <c r="U45" s="203"/>
      <c r="V45" s="203"/>
      <c r="W45" s="203"/>
      <c r="X45" s="203"/>
      <c r="Y45" s="203"/>
    </row>
    <row r="46" spans="4:25">
      <c r="D46" s="199"/>
      <c r="J46" s="200"/>
      <c r="K46" s="201"/>
      <c r="L46" s="185"/>
      <c r="N46" s="202"/>
      <c r="R46" s="203"/>
      <c r="S46" s="203"/>
      <c r="T46" s="203"/>
      <c r="U46" s="203"/>
      <c r="V46" s="203"/>
      <c r="W46" s="203"/>
      <c r="X46" s="203"/>
      <c r="Y46" s="203"/>
    </row>
    <row r="47" spans="4:25">
      <c r="D47" s="199"/>
      <c r="J47" s="200"/>
      <c r="K47" s="201"/>
      <c r="L47" s="185"/>
      <c r="N47" s="202"/>
      <c r="R47" s="203"/>
      <c r="S47" s="203"/>
      <c r="T47" s="203"/>
      <c r="U47" s="203"/>
      <c r="V47" s="203"/>
      <c r="W47" s="203"/>
      <c r="X47" s="203"/>
      <c r="Y47" s="203"/>
    </row>
    <row r="48" spans="4:25">
      <c r="D48" s="199"/>
      <c r="J48" s="200"/>
      <c r="K48" s="201"/>
      <c r="L48" s="185"/>
      <c r="M48" s="185"/>
      <c r="N48" s="204"/>
      <c r="R48" s="203"/>
      <c r="S48" s="203"/>
      <c r="T48" s="203"/>
      <c r="U48" s="203"/>
      <c r="V48" s="203"/>
      <c r="W48" s="203"/>
      <c r="X48" s="203"/>
      <c r="Y48" s="203"/>
    </row>
    <row r="49" spans="4:25">
      <c r="D49" s="199"/>
      <c r="J49" s="200"/>
      <c r="K49" s="201"/>
      <c r="L49" s="185"/>
      <c r="M49" s="185"/>
      <c r="N49" s="202"/>
      <c r="R49" s="203"/>
      <c r="S49" s="203"/>
      <c r="T49" s="203"/>
      <c r="U49" s="203"/>
      <c r="V49" s="203"/>
      <c r="W49" s="203"/>
      <c r="X49" s="203"/>
      <c r="Y49" s="203"/>
    </row>
    <row r="50" spans="4:25">
      <c r="D50" s="199"/>
      <c r="J50" s="200"/>
      <c r="K50" s="201"/>
      <c r="L50" s="185"/>
      <c r="M50" s="185"/>
      <c r="N50" s="202"/>
      <c r="R50" s="203"/>
      <c r="S50" s="203"/>
      <c r="T50" s="203"/>
      <c r="U50" s="203"/>
      <c r="V50" s="203"/>
      <c r="W50" s="203"/>
      <c r="X50" s="203"/>
      <c r="Y50" s="203"/>
    </row>
    <row r="51" spans="4:25">
      <c r="D51" s="199"/>
      <c r="J51" s="200"/>
      <c r="K51" s="201"/>
      <c r="L51" s="185"/>
      <c r="M51" s="185"/>
      <c r="N51" s="202"/>
      <c r="R51" s="203"/>
      <c r="S51" s="203"/>
      <c r="T51" s="203"/>
      <c r="U51" s="203"/>
      <c r="V51" s="203"/>
      <c r="W51" s="203"/>
      <c r="X51" s="203"/>
      <c r="Y51" s="203"/>
    </row>
    <row r="52" spans="4:25">
      <c r="D52" s="199"/>
      <c r="J52" s="200"/>
      <c r="K52" s="201"/>
      <c r="L52" s="185"/>
      <c r="M52" s="185"/>
      <c r="N52" s="204"/>
      <c r="R52" s="203"/>
      <c r="S52" s="203"/>
      <c r="T52" s="203"/>
      <c r="U52" s="203"/>
      <c r="V52" s="203"/>
      <c r="W52" s="203"/>
      <c r="X52" s="203"/>
      <c r="Y52" s="203"/>
    </row>
    <row r="53" spans="4:25">
      <c r="D53" s="199"/>
      <c r="J53" s="200"/>
      <c r="K53" s="201"/>
      <c r="L53" s="185"/>
      <c r="M53" s="185"/>
      <c r="N53" s="204"/>
      <c r="R53" s="203"/>
      <c r="S53" s="203"/>
      <c r="T53" s="203"/>
      <c r="U53" s="203"/>
      <c r="V53" s="203"/>
      <c r="W53" s="203"/>
      <c r="X53" s="203"/>
      <c r="Y53" s="203"/>
    </row>
    <row r="54" spans="4:25">
      <c r="D54" s="199"/>
      <c r="J54" s="200"/>
      <c r="K54" s="201"/>
      <c r="L54" s="185"/>
      <c r="M54" s="185"/>
      <c r="N54" s="204"/>
      <c r="R54" s="203"/>
      <c r="S54" s="203"/>
      <c r="T54" s="203"/>
      <c r="U54" s="203"/>
      <c r="V54" s="203"/>
      <c r="W54" s="203"/>
      <c r="X54" s="203"/>
      <c r="Y54" s="203"/>
    </row>
    <row r="55" spans="4:25">
      <c r="D55" s="199"/>
      <c r="J55" s="200"/>
      <c r="K55" s="201"/>
      <c r="L55" s="185"/>
      <c r="M55" s="185"/>
      <c r="N55" s="202"/>
      <c r="R55" s="203"/>
      <c r="S55" s="203"/>
      <c r="T55" s="203"/>
      <c r="U55" s="203"/>
      <c r="V55" s="203"/>
      <c r="W55" s="203"/>
      <c r="X55" s="203"/>
      <c r="Y55" s="203"/>
    </row>
    <row r="56" spans="4:25">
      <c r="D56" s="199"/>
      <c r="J56" s="200"/>
      <c r="K56" s="201"/>
      <c r="L56" s="185"/>
      <c r="M56" s="185"/>
      <c r="N56" s="204"/>
      <c r="R56" s="203"/>
      <c r="S56" s="203"/>
      <c r="T56" s="203"/>
      <c r="U56" s="203"/>
      <c r="V56" s="203"/>
      <c r="W56" s="203"/>
      <c r="X56" s="203"/>
      <c r="Y56" s="203"/>
    </row>
    <row r="57" spans="4:25">
      <c r="D57" s="199"/>
      <c r="J57" s="200"/>
      <c r="K57" s="201"/>
      <c r="L57" s="185"/>
      <c r="M57" s="185"/>
      <c r="N57" s="204"/>
      <c r="R57" s="203"/>
      <c r="S57" s="203"/>
      <c r="T57" s="203"/>
      <c r="U57" s="203"/>
      <c r="V57" s="203"/>
      <c r="W57" s="203"/>
      <c r="X57" s="203"/>
      <c r="Y57" s="203"/>
    </row>
    <row r="58" spans="4:25">
      <c r="D58" s="199"/>
      <c r="J58" s="200"/>
      <c r="K58" s="201"/>
      <c r="L58" s="185"/>
      <c r="M58" s="185"/>
      <c r="N58" s="202"/>
      <c r="R58" s="203"/>
      <c r="S58" s="203"/>
      <c r="T58" s="203"/>
      <c r="U58" s="203"/>
      <c r="V58" s="203"/>
      <c r="W58" s="203"/>
      <c r="X58" s="203"/>
      <c r="Y58" s="203"/>
    </row>
    <row r="59" spans="4:25">
      <c r="D59" s="199"/>
      <c r="J59" s="200"/>
      <c r="K59" s="201"/>
      <c r="L59" s="185"/>
      <c r="M59" s="185"/>
      <c r="N59" s="202"/>
      <c r="R59" s="203"/>
      <c r="S59" s="203"/>
      <c r="T59" s="203"/>
      <c r="U59" s="203"/>
      <c r="V59" s="203"/>
      <c r="W59" s="203"/>
      <c r="X59" s="203"/>
      <c r="Y59" s="203"/>
    </row>
    <row r="60" spans="4:25">
      <c r="D60" s="199"/>
      <c r="J60" s="200"/>
      <c r="K60" s="201"/>
      <c r="L60" s="185"/>
      <c r="M60" s="185"/>
      <c r="N60" s="202"/>
      <c r="R60" s="203"/>
      <c r="S60" s="203"/>
      <c r="T60" s="203"/>
      <c r="U60" s="203"/>
      <c r="V60" s="203"/>
      <c r="W60" s="203"/>
      <c r="X60" s="203"/>
      <c r="Y60" s="203"/>
    </row>
    <row r="61" spans="4:25">
      <c r="D61" s="199"/>
      <c r="J61" s="200"/>
      <c r="K61" s="201"/>
      <c r="L61" s="185"/>
      <c r="M61" s="185"/>
      <c r="N61" s="202"/>
      <c r="R61" s="203"/>
      <c r="S61" s="203"/>
      <c r="T61" s="203"/>
      <c r="U61" s="203"/>
      <c r="V61" s="203"/>
      <c r="W61" s="203"/>
      <c r="X61" s="203"/>
      <c r="Y61" s="203"/>
    </row>
    <row r="62" spans="4:25">
      <c r="D62" s="199"/>
      <c r="J62" s="200"/>
      <c r="K62" s="201"/>
      <c r="L62" s="185"/>
      <c r="M62" s="185"/>
      <c r="N62" s="204"/>
      <c r="R62" s="203"/>
      <c r="S62" s="203"/>
      <c r="T62" s="203"/>
      <c r="U62" s="203"/>
      <c r="V62" s="203"/>
      <c r="W62" s="203"/>
      <c r="X62" s="203"/>
      <c r="Y62" s="203"/>
    </row>
    <row r="63" spans="4:25">
      <c r="D63" s="199"/>
      <c r="J63" s="200"/>
      <c r="K63" s="201"/>
      <c r="L63" s="185"/>
      <c r="M63" s="185"/>
      <c r="N63" s="202"/>
      <c r="R63" s="203"/>
      <c r="S63" s="203"/>
      <c r="T63" s="203"/>
      <c r="U63" s="203"/>
      <c r="V63" s="203"/>
      <c r="W63" s="203"/>
      <c r="X63" s="203"/>
      <c r="Y63" s="203"/>
    </row>
    <row r="64" spans="4:25">
      <c r="D64" s="199"/>
      <c r="J64" s="200"/>
      <c r="K64" s="201"/>
      <c r="L64" s="185"/>
      <c r="M64" s="185"/>
      <c r="N64" s="202"/>
      <c r="R64" s="203"/>
      <c r="S64" s="203"/>
      <c r="T64" s="203"/>
      <c r="U64" s="203"/>
      <c r="V64" s="203"/>
      <c r="W64" s="203"/>
      <c r="X64" s="203"/>
      <c r="Y64" s="203"/>
    </row>
    <row r="65" spans="4:25">
      <c r="D65" s="199"/>
      <c r="J65" s="200"/>
      <c r="K65" s="201"/>
      <c r="L65" s="185"/>
      <c r="M65" s="185"/>
      <c r="N65" s="202"/>
      <c r="R65" s="203"/>
      <c r="S65" s="203"/>
      <c r="T65" s="203"/>
      <c r="U65" s="203"/>
      <c r="V65" s="203"/>
      <c r="W65" s="203"/>
      <c r="X65" s="203"/>
      <c r="Y65" s="203"/>
    </row>
    <row r="66" spans="4:25">
      <c r="D66" s="199"/>
      <c r="J66" s="200"/>
      <c r="K66" s="201"/>
      <c r="L66" s="185"/>
      <c r="M66" s="185"/>
      <c r="N66" s="202"/>
      <c r="R66" s="203"/>
      <c r="S66" s="203"/>
      <c r="T66" s="203"/>
      <c r="U66" s="203"/>
      <c r="V66" s="203"/>
      <c r="W66" s="203"/>
      <c r="X66" s="203"/>
      <c r="Y66" s="203"/>
    </row>
    <row r="67" spans="4:25">
      <c r="D67" s="199"/>
      <c r="J67" s="200"/>
      <c r="K67" s="201"/>
      <c r="L67" s="185"/>
      <c r="M67" s="185"/>
      <c r="N67" s="202"/>
      <c r="R67" s="203"/>
      <c r="S67" s="203"/>
      <c r="T67" s="203"/>
      <c r="U67" s="203"/>
      <c r="V67" s="203"/>
      <c r="W67" s="203"/>
      <c r="X67" s="203"/>
      <c r="Y67" s="203"/>
    </row>
    <row r="68" spans="4:25">
      <c r="D68" s="199"/>
      <c r="J68" s="200"/>
      <c r="K68" s="201"/>
      <c r="L68" s="185"/>
      <c r="M68" s="185"/>
      <c r="N68" s="202"/>
      <c r="R68" s="203"/>
      <c r="S68" s="203"/>
      <c r="T68" s="203"/>
      <c r="U68" s="203"/>
      <c r="V68" s="203"/>
      <c r="W68" s="203"/>
      <c r="X68" s="203"/>
      <c r="Y68" s="203"/>
    </row>
    <row r="69" spans="4:25">
      <c r="D69" s="199"/>
      <c r="J69" s="200"/>
      <c r="K69" s="201"/>
      <c r="L69" s="185"/>
      <c r="M69" s="185"/>
      <c r="N69" s="202"/>
      <c r="R69" s="203"/>
      <c r="S69" s="203"/>
      <c r="T69" s="203"/>
      <c r="U69" s="203"/>
      <c r="V69" s="203"/>
      <c r="W69" s="203"/>
      <c r="X69" s="203"/>
      <c r="Y69" s="203"/>
    </row>
    <row r="70" spans="4:25">
      <c r="D70" s="199"/>
      <c r="J70" s="200"/>
      <c r="K70" s="201"/>
      <c r="L70" s="185"/>
      <c r="M70" s="185"/>
      <c r="N70" s="202"/>
      <c r="R70" s="203"/>
      <c r="S70" s="203"/>
      <c r="T70" s="203"/>
      <c r="U70" s="203"/>
      <c r="V70" s="203"/>
      <c r="W70" s="203"/>
      <c r="X70" s="203"/>
      <c r="Y70" s="203"/>
    </row>
    <row r="71" spans="4:25">
      <c r="D71" s="199"/>
      <c r="J71" s="200"/>
      <c r="K71" s="201"/>
      <c r="L71" s="185"/>
      <c r="M71" s="185"/>
      <c r="N71" s="202"/>
      <c r="R71" s="203"/>
      <c r="S71" s="203"/>
      <c r="T71" s="203"/>
      <c r="U71" s="203"/>
      <c r="V71" s="203"/>
      <c r="W71" s="203"/>
      <c r="X71" s="203"/>
      <c r="Y71" s="203"/>
    </row>
    <row r="72" spans="4:25">
      <c r="D72" s="199"/>
      <c r="J72" s="200"/>
      <c r="K72" s="201"/>
      <c r="L72" s="185"/>
      <c r="M72" s="185"/>
      <c r="N72" s="202"/>
      <c r="R72" s="203"/>
      <c r="S72" s="203"/>
      <c r="T72" s="203"/>
      <c r="U72" s="203"/>
      <c r="V72" s="203"/>
      <c r="W72" s="203"/>
      <c r="X72" s="203"/>
      <c r="Y72" s="203"/>
    </row>
    <row r="73" spans="4:25">
      <c r="K73" s="187"/>
      <c r="L73" s="185"/>
      <c r="N73" s="178"/>
      <c r="R73" s="178"/>
    </row>
    <row r="74" spans="4:25">
      <c r="D74" s="199"/>
      <c r="Q74" s="203"/>
      <c r="R74" s="203"/>
      <c r="S74" s="203"/>
      <c r="T74" s="203"/>
      <c r="U74" s="203"/>
      <c r="V74" s="203"/>
      <c r="W74" s="203"/>
      <c r="X74" s="203"/>
      <c r="Y74" s="20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D3FF9-BFBA-4D67-A19E-D954CEBA7A2F}">
  <dimension ref="A4:O21"/>
  <sheetViews>
    <sheetView zoomScale="80" zoomScaleNormal="80" workbookViewId="0">
      <selection activeCell="F52" sqref="F52"/>
    </sheetView>
  </sheetViews>
  <sheetFormatPr baseColWidth="10" defaultColWidth="8.83203125" defaultRowHeight="15"/>
  <cols>
    <col min="4" max="4" width="13.1640625" customWidth="1"/>
    <col min="5" max="7" width="12.5" customWidth="1"/>
    <col min="8" max="9" width="13.1640625" customWidth="1"/>
    <col min="10" max="10" width="13" customWidth="1"/>
    <col min="11" max="12" width="13.5" customWidth="1"/>
    <col min="13" max="13" width="23.83203125" customWidth="1"/>
    <col min="14" max="14" width="17.5" customWidth="1"/>
    <col min="15" max="15" width="13.83203125" customWidth="1"/>
  </cols>
  <sheetData>
    <row r="4" spans="1:15">
      <c r="B4" t="s">
        <v>573</v>
      </c>
      <c r="C4" t="s">
        <v>615</v>
      </c>
      <c r="D4" t="s">
        <v>10</v>
      </c>
      <c r="E4" t="s">
        <v>572</v>
      </c>
      <c r="F4" t="s">
        <v>491</v>
      </c>
      <c r="G4" t="s">
        <v>571</v>
      </c>
      <c r="H4" t="s">
        <v>569</v>
      </c>
      <c r="I4" t="s">
        <v>490</v>
      </c>
      <c r="J4" t="s">
        <v>568</v>
      </c>
      <c r="K4" t="s">
        <v>567</v>
      </c>
      <c r="L4" t="s">
        <v>566</v>
      </c>
      <c r="M4" t="s">
        <v>565</v>
      </c>
      <c r="N4" t="s">
        <v>564</v>
      </c>
      <c r="O4" t="s">
        <v>576</v>
      </c>
    </row>
    <row r="7" spans="1:15">
      <c r="A7">
        <v>1600</v>
      </c>
      <c r="B7">
        <v>1</v>
      </c>
      <c r="C7">
        <v>742</v>
      </c>
      <c r="D7" t="s">
        <v>185</v>
      </c>
      <c r="E7" t="s">
        <v>672</v>
      </c>
      <c r="F7" t="s">
        <v>557</v>
      </c>
      <c r="G7" t="s">
        <v>654</v>
      </c>
      <c r="H7" s="178">
        <v>46161</v>
      </c>
      <c r="I7" s="177">
        <v>40000</v>
      </c>
      <c r="J7" s="181">
        <v>1396287</v>
      </c>
      <c r="M7" t="s">
        <v>673</v>
      </c>
      <c r="N7" s="178">
        <v>46112</v>
      </c>
      <c r="O7" t="s">
        <v>130</v>
      </c>
    </row>
    <row r="8" spans="1:15">
      <c r="B8">
        <v>2</v>
      </c>
      <c r="C8">
        <v>743</v>
      </c>
      <c r="D8" t="s">
        <v>584</v>
      </c>
      <c r="E8" t="s">
        <v>674</v>
      </c>
      <c r="F8" t="s">
        <v>545</v>
      </c>
      <c r="G8" t="s">
        <v>654</v>
      </c>
      <c r="H8" s="178">
        <v>46122</v>
      </c>
      <c r="I8" s="177">
        <v>50000</v>
      </c>
      <c r="J8" s="181">
        <v>1418253</v>
      </c>
      <c r="M8" t="s">
        <v>623</v>
      </c>
      <c r="N8" s="178"/>
      <c r="O8" t="s">
        <v>130</v>
      </c>
    </row>
    <row r="9" spans="1:15">
      <c r="B9">
        <v>3</v>
      </c>
      <c r="C9" s="179">
        <v>744</v>
      </c>
      <c r="D9" s="179"/>
      <c r="E9" s="179" t="s">
        <v>675</v>
      </c>
      <c r="F9" s="179"/>
      <c r="G9" s="179" t="s">
        <v>654</v>
      </c>
      <c r="H9" s="179"/>
      <c r="I9" s="179"/>
      <c r="J9" s="179"/>
      <c r="K9" s="179"/>
      <c r="L9" s="179"/>
      <c r="M9" s="179" t="s">
        <v>676</v>
      </c>
      <c r="N9" s="205">
        <v>46376</v>
      </c>
      <c r="O9" s="179"/>
    </row>
    <row r="10" spans="1:15">
      <c r="N10" s="178"/>
    </row>
    <row r="11" spans="1:15">
      <c r="D11" s="186"/>
      <c r="E11" s="186"/>
      <c r="N11" s="178"/>
    </row>
    <row r="12" spans="1:15">
      <c r="N12" s="178"/>
    </row>
    <row r="13" spans="1:15">
      <c r="K13" s="178"/>
      <c r="N13" s="178"/>
    </row>
    <row r="14" spans="1:15">
      <c r="K14" s="178"/>
      <c r="N14" s="178"/>
    </row>
    <row r="15" spans="1:15">
      <c r="K15" s="178"/>
      <c r="N15" s="178"/>
    </row>
    <row r="16" spans="1:15">
      <c r="K16" s="178"/>
      <c r="N16" s="178"/>
    </row>
    <row r="17" spans="11:14">
      <c r="K17" s="178"/>
      <c r="N17" s="178"/>
    </row>
    <row r="18" spans="11:14">
      <c r="K18" s="178"/>
      <c r="N18" s="178"/>
    </row>
    <row r="19" spans="11:14">
      <c r="K19" s="178"/>
      <c r="N19" s="178"/>
    </row>
    <row r="20" spans="11:14">
      <c r="K20" s="178"/>
      <c r="N20" s="178"/>
    </row>
    <row r="21" spans="11:14">
      <c r="K21" s="178"/>
      <c r="N21" s="17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BA0480-BE46-4DDE-943F-4213FE4E5F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SW production Schedule 6W</vt:lpstr>
      <vt:lpstr>Launch schedule 24.06.2026</vt:lpstr>
      <vt:lpstr>SW1160XL</vt:lpstr>
      <vt:lpstr>SW1170</vt:lpstr>
      <vt:lpstr>SW1260 &amp; 1270</vt:lpstr>
      <vt:lpstr>SW1370</vt:lpstr>
      <vt:lpstr>SW1600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2026-06-24T10:04:37Z</dcterms:modified>
  <cp:category/>
  <cp:contentStatus/>
</cp:coreProperties>
</file>